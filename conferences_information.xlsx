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eloughbc/Documents/VSCode-Local/Brandonios_Conference_Countdown/"/>
    </mc:Choice>
  </mc:AlternateContent>
  <xr:revisionPtr revIDLastSave="0" documentId="13_ncr:1_{0B7058D1-4D0E-434F-9CD0-4FECC56B2655}" xr6:coauthVersionLast="47" xr6:coauthVersionMax="47" xr10:uidLastSave="{00000000-0000-0000-0000-000000000000}"/>
  <bookViews>
    <workbookView xWindow="30240" yWindow="0" windowWidth="38400" windowHeight="21600" xr2:uid="{2BF9625D-9E65-4F6C-BE00-82589A1EBCB1}"/>
  </bookViews>
  <sheets>
    <sheet name="conferences_countdown_with_re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1" l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9" i="1"/>
  <c r="H12" i="1"/>
  <c r="H13" i="1"/>
  <c r="H15" i="1"/>
  <c r="H17" i="1"/>
  <c r="H20" i="1"/>
  <c r="H18" i="1"/>
  <c r="H16" i="1"/>
  <c r="H24" i="1"/>
  <c r="H23" i="1"/>
  <c r="H11" i="1"/>
  <c r="H25" i="1"/>
  <c r="H21" i="1"/>
  <c r="H14" i="1"/>
  <c r="H7" i="1"/>
  <c r="H8" i="1"/>
  <c r="H22" i="1"/>
  <c r="H3" i="1"/>
  <c r="H10" i="1"/>
  <c r="H19" i="1"/>
  <c r="H6" i="1"/>
  <c r="H4" i="1"/>
  <c r="H2" i="1"/>
  <c r="H5" i="1"/>
</calcChain>
</file>

<file path=xl/sharedStrings.xml><?xml version="1.0" encoding="utf-8"?>
<sst xmlns="http://schemas.openxmlformats.org/spreadsheetml/2006/main" count="645" uniqueCount="467">
  <si>
    <t>Conference / Symposia Name</t>
  </si>
  <si>
    <t>Website</t>
  </si>
  <si>
    <t>Location</t>
  </si>
  <si>
    <t>Abstract Submission Date</t>
  </si>
  <si>
    <t>Paper Submission Date</t>
  </si>
  <si>
    <t>Research Area(s)</t>
  </si>
  <si>
    <t>AAAI-25 Fall Symposium Series</t>
  </si>
  <si>
    <t>https://aaai.org/conference/aaai/aaai-25/</t>
  </si>
  <si>
    <t>August 15, 2024</t>
  </si>
  <si>
    <t>EAAI-25 (Educational Advances in AI)</t>
  </si>
  <si>
    <t>https://eaai-conf.github.io/year/eaai-25.html</t>
  </si>
  <si>
    <t>Philadelphia, Pennsylvania, USA</t>
  </si>
  <si>
    <t>September 9, 2024</t>
  </si>
  <si>
    <t>September 16, 2024</t>
  </si>
  <si>
    <t>IEEE ICRA 2025 (International Conference on Robotics and Automation)</t>
  </si>
  <si>
    <t>https://2025.ieee-icra.org/announcements/paper-submissions/</t>
  </si>
  <si>
    <t>ICLR 2025 (International Conference on Learning Representations)</t>
  </si>
  <si>
    <t>https://iclr.cc</t>
  </si>
  <si>
    <t>Singapore EXPO, Singapore</t>
  </si>
  <si>
    <t>September 27, 2024</t>
  </si>
  <si>
    <t>October 1, 2024</t>
  </si>
  <si>
    <t>AISTATS 2025 (International Conference on Artificial Intelligence and Statistics)</t>
  </si>
  <si>
    <t>https://aistats.org</t>
  </si>
  <si>
    <t>IEEE CVPR 2025 (Conference on Computer Vision and Pattern Recognition)</t>
  </si>
  <si>
    <t>AAMAS 2025 (International Conference on Autonomous Agents and Multiagent Systems)</t>
  </si>
  <si>
    <t>https://www.aamas-conference.org</t>
  </si>
  <si>
    <t>ACL 2025 (Association for Computational Linguistics)</t>
  </si>
  <si>
    <t>https://acl2025.org</t>
  </si>
  <si>
    <t>IJCAI-25 (International Joint Conference on Artificial Intelligence 2025)</t>
  </si>
  <si>
    <t>https://www.ijcai.org</t>
  </si>
  <si>
    <t>IEEE ISIT 2025 (International Symposium on Information Theory)</t>
  </si>
  <si>
    <t>https://www.isit2025.org</t>
  </si>
  <si>
    <t>ACM SIGIR 2025 (Special Interest Group on Information Retrieval)</t>
  </si>
  <si>
    <t>https://sigir.org</t>
  </si>
  <si>
    <t>ICML 2025 (International Conference on Machine Learning)</t>
  </si>
  <si>
    <t>https://icml.cc</t>
  </si>
  <si>
    <t>ECAI 2025 (European Conference on Artificial Intelligence)</t>
  </si>
  <si>
    <t>https://www.ecai2025.org</t>
  </si>
  <si>
    <t>ACM SIGKDD 2025 (Knowledge Discovery and Data Mining)</t>
  </si>
  <si>
    <t>https://www.kdd.org</t>
  </si>
  <si>
    <t>ACM CHI 2025 (Conference on Human Factors in Computing Systems)</t>
  </si>
  <si>
    <t>https://chi2025.acm.org</t>
  </si>
  <si>
    <t>ACM SIGGRAPH 2025 (Computer Graphics and Interactive Techniques)</t>
  </si>
  <si>
    <t>https://s2025.siggraph.org</t>
  </si>
  <si>
    <t>NeurIPS 2025 (Conference on Neural Information Processing Systems)</t>
  </si>
  <si>
    <t>https://neurips.cc</t>
  </si>
  <si>
    <t>Conference Date</t>
  </si>
  <si>
    <t>Arlington, VA, USA</t>
  </si>
  <si>
    <t>November 7, 2024</t>
  </si>
  <si>
    <t>NSAI, XAI, KRR</t>
  </si>
  <si>
    <t>EDAI, HCAI</t>
  </si>
  <si>
    <t>February 25, 2025</t>
  </si>
  <si>
    <t>Georgia World Congress Center in Atlanta, Georgia, USA</t>
  </si>
  <si>
    <t>September 15, 2024</t>
  </si>
  <si>
    <t>November 15, 2024</t>
  </si>
  <si>
    <t>ROB, CPS</t>
  </si>
  <si>
    <t>April 24, 2025</t>
  </si>
  <si>
    <t>ML, RL, MAS</t>
  </si>
  <si>
    <t>Splash Beach Resort, Phuket, Thailand</t>
  </si>
  <si>
    <t>October 3, 2024</t>
  </si>
  <si>
    <t>October 10, 2024</t>
  </si>
  <si>
    <t>May 3, 2025</t>
  </si>
  <si>
    <t>ML, PM, RL, DL, ETF</t>
  </si>
  <si>
    <t>Music City Center, Nashville, TN, USA</t>
  </si>
  <si>
    <t>November 8, 2024</t>
  </si>
  <si>
    <t>November 14, 2024</t>
  </si>
  <si>
    <t>CV, PR, DL, AA</t>
  </si>
  <si>
    <t>Detroit, Michigan, USA</t>
  </si>
  <si>
    <t>October 9, 2024</t>
  </si>
  <si>
    <t>October 16, 2024</t>
  </si>
  <si>
    <t>MAS, HCAI, ETF</t>
  </si>
  <si>
    <t>Vienna, Austria</t>
  </si>
  <si>
    <t>October 15, 2024</t>
  </si>
  <si>
    <t>NLP, CLINLP, AICL</t>
  </si>
  <si>
    <t>Yokohama, Japan</t>
  </si>
  <si>
    <t>January 15, 2025</t>
  </si>
  <si>
    <t>February 1, 2025</t>
  </si>
  <si>
    <t>AI, KRR, MAS</t>
  </si>
  <si>
    <t>Stockholm, Sweden</t>
  </si>
  <si>
    <t>January 20, 2025</t>
  </si>
  <si>
    <t>February 10, 2025</t>
  </si>
  <si>
    <t>IT, SP, RL</t>
  </si>
  <si>
    <t>May 19, 2025</t>
  </si>
  <si>
    <t>July 27, 2025</t>
  </si>
  <si>
    <t>August 11, 2025</t>
  </si>
  <si>
    <t>June 22, 2025</t>
  </si>
  <si>
    <t>Padua, Italy</t>
  </si>
  <si>
    <t>March 1, 2025</t>
  </si>
  <si>
    <t>March 8, 2025</t>
  </si>
  <si>
    <t>IR, NLP, DM</t>
  </si>
  <si>
    <t>Singapore</t>
  </si>
  <si>
    <t>February 15, 2025</t>
  </si>
  <si>
    <t>ML, RL, DL</t>
  </si>
  <si>
    <t>January 10, 2025</t>
  </si>
  <si>
    <t>San Francisco, California, USA</t>
  </si>
  <si>
    <t>January 17, 2025</t>
  </si>
  <si>
    <t>February 3, 2025</t>
  </si>
  <si>
    <t>DM, ML, AI</t>
  </si>
  <si>
    <t>July 13, 2025</t>
  </si>
  <si>
    <t>July 20, 2025</t>
  </si>
  <si>
    <t>August 17, 2025</t>
  </si>
  <si>
    <t>September 5, 2024</t>
  </si>
  <si>
    <t>HCI, HC, UX</t>
  </si>
  <si>
    <t>Los Angeles, California, USA</t>
  </si>
  <si>
    <t>February 2, 2025</t>
  </si>
  <si>
    <t>CG, VR, AR</t>
  </si>
  <si>
    <t>Vancouver, Canada</t>
  </si>
  <si>
    <t>May 15, 2025</t>
  </si>
  <si>
    <t>May 25, 2025</t>
  </si>
  <si>
    <t>ML, AI, DL</t>
  </si>
  <si>
    <t>April 26, 2025</t>
  </si>
  <si>
    <t>August 3, 2025</t>
  </si>
  <si>
    <t>December 1, 2025</t>
  </si>
  <si>
    <t>IROS 2025 (International Conference on Intelligent Robots and Systems)</t>
  </si>
  <si>
    <t>https://irmv.sjtu.edu.cn/iros2025/</t>
  </si>
  <si>
    <t>Hangzhou, China</t>
  </si>
  <si>
    <t>ROB, AI, CPS</t>
  </si>
  <si>
    <t>https://sigir2025.dei.unipd.it/</t>
  </si>
  <si>
    <t>BioNLP Workshop (BioNLP)</t>
  </si>
  <si>
    <t>https://2025.aclweb.org/program/workshops/</t>
  </si>
  <si>
    <t>Vienna, Austria (in conjunction with ACL 2025)</t>
  </si>
  <si>
    <t>BioNLP, NLP, BioNER</t>
  </si>
  <si>
    <t>AMIA 2025 Informatics Summit</t>
  </si>
  <si>
    <t>https://amia.org/education-events/amia-2025-informatics-summit</t>
  </si>
  <si>
    <t>Pittsburgh, PA, USA</t>
  </si>
  <si>
    <t>September 17, 2024</t>
  </si>
  <si>
    <t>https://www.conll.org/</t>
  </si>
  <si>
    <t>July 7, 2024</t>
  </si>
  <si>
    <t>Pacific Symposium on Biocomputing (PSB 2025)</t>
  </si>
  <si>
    <t>https://psb.stanford.edu/</t>
  </si>
  <si>
    <t>Big Island, Hawaii, USA</t>
  </si>
  <si>
    <t>CLNLP 2025</t>
  </si>
  <si>
    <t>https://www.clnlp.org/</t>
  </si>
  <si>
    <t>January 2, 2025</t>
  </si>
  <si>
    <t>International Conference on Language Resources and Evaluation (ICLRE)</t>
  </si>
  <si>
    <t>https://conferenceindex.org/event/international-conference-on-language-resources-and-evaluation-iclre-2025-august-budapest-hu</t>
  </si>
  <si>
    <t>Budapest, Hungary</t>
  </si>
  <si>
    <t>Clinical Natural Language Processing Workshop (ClinicalNLP) 2024</t>
  </si>
  <si>
    <t>https://clinical-nlp.github.io/2024/</t>
  </si>
  <si>
    <t>IEEE International Conference on Bioinformatics and Biomedicine (BIBM) 2024</t>
  </si>
  <si>
    <t>https://ieeebibm.org/BIBM2024/</t>
  </si>
  <si>
    <t>Lisbon, Portugal</t>
  </si>
  <si>
    <t>August 16, 2024</t>
  </si>
  <si>
    <t>NAACL 2025 - The 2025 Annual Conference of the North American Chapter of the Association for Computational Linguistics</t>
  </si>
  <si>
    <t>https://2025.naacl.org/</t>
  </si>
  <si>
    <t>EMNLP 2024 - The 2024 Conference on Empirical Methods in Natural Language Processing</t>
  </si>
  <si>
    <t>https://2024.emnlp.org/</t>
  </si>
  <si>
    <t>NeSy Workshop 2024 - Neuro-Symbolic Learning and Reasoning</t>
  </si>
  <si>
    <t>https://easychair.org/cfp/NeSy2024</t>
  </si>
  <si>
    <t>Barcelona, Spain</t>
  </si>
  <si>
    <t>April 21, 2024</t>
  </si>
  <si>
    <t>April 26, 2024</t>
  </si>
  <si>
    <t>KR 2024 - Principles of Knowledge Representation and Reasoning Conference</t>
  </si>
  <si>
    <t>https://kr.org/KR2024/</t>
  </si>
  <si>
    <t>March 5, 2024</t>
  </si>
  <si>
    <t>March 12, 2024</t>
  </si>
  <si>
    <t>FLLM 2024 - The 2nd International Conference on Foundation and Large Language Models</t>
  </si>
  <si>
    <t>https://fllm-conference.org/2024/</t>
  </si>
  <si>
    <t>Dubai, UAE</t>
  </si>
  <si>
    <t>May 30, 2024</t>
  </si>
  <si>
    <t>June 30, 2024</t>
  </si>
  <si>
    <t>TBI, PM, CRI, DS, AI</t>
  </si>
  <si>
    <t>NLP, MT, CL, ST</t>
  </si>
  <si>
    <t>BI, CB, BD</t>
  </si>
  <si>
    <t>C-NLP, BTM, NLP</t>
  </si>
  <si>
    <t>LR, MI, NLP, MT</t>
  </si>
  <si>
    <t>C-NLP, BioNLP, MTM</t>
  </si>
  <si>
    <t>BI, HI, CB</t>
  </si>
  <si>
    <t>NLP, CL, MT</t>
  </si>
  <si>
    <t xml:space="preserve"> NLP, CL, ML</t>
  </si>
  <si>
    <t>NSAI, ML, KRR</t>
  </si>
  <si>
    <t>KRR, AI</t>
  </si>
  <si>
    <t>LLM, NLP</t>
  </si>
  <si>
    <t xml:space="preserve">Conference on Computational Natural Language Learning (CoNLL) 2024 </t>
  </si>
  <si>
    <t xml:space="preserve"> Miami, Florida USA</t>
  </si>
  <si>
    <t>Mexico City, Mexico</t>
  </si>
  <si>
    <t>March 19, 2024</t>
  </si>
  <si>
    <t>April 24, 2024</t>
  </si>
  <si>
    <t>April 18, 2024</t>
  </si>
  <si>
    <t>Albuquerque, New Mexico USA</t>
  </si>
  <si>
    <t>Souzhu, China</t>
  </si>
  <si>
    <t>Miami, Florida, USA</t>
  </si>
  <si>
    <t>June 15, 2024</t>
  </si>
  <si>
    <t>August 20, 2024</t>
  </si>
  <si>
    <t>November 12, 2024</t>
  </si>
  <si>
    <t>October 19, 2025</t>
  </si>
  <si>
    <t>March 10, 2025</t>
  </si>
  <si>
    <t>January 3, 2025</t>
  </si>
  <si>
    <t>July 18, 2025</t>
  </si>
  <si>
    <t>August 23, 2025</t>
  </si>
  <si>
    <t>December 3, 2024</t>
  </si>
  <si>
    <t>April 30, 2025</t>
  </si>
  <si>
    <t>November 26, 2024</t>
  </si>
  <si>
    <t>August 1, 2024</t>
  </si>
  <si>
    <t>December 2, 2024</t>
  </si>
  <si>
    <t>August 07, 2024</t>
  </si>
  <si>
    <t>January 01, 2025</t>
  </si>
  <si>
    <t>date number for the Abstract Submission (number used for ordering)</t>
  </si>
  <si>
    <t>July 01, 2025</t>
  </si>
  <si>
    <t>July 22, 2025</t>
  </si>
  <si>
    <t>July 07, 2024</t>
  </si>
  <si>
    <t>September 12, 2024</t>
  </si>
  <si>
    <t>https://cvpr.thecvf.com/Conferences/2025</t>
  </si>
  <si>
    <t xml:space="preserve"> June 10, 2025</t>
  </si>
  <si>
    <t>Bologna, Italy</t>
  </si>
  <si>
    <t>October 27, 2025</t>
  </si>
  <si>
    <t>IEEE ICDCS 2025</t>
  </si>
  <si>
    <t>https://icdcs2025.icdcs.org/</t>
  </si>
  <si>
    <t>Glasgow, Scotland, UK</t>
  </si>
  <si>
    <t>A</t>
  </si>
  <si>
    <t>ACL 2025</t>
  </si>
  <si>
    <t>https://2025.aclweb.org/</t>
  </si>
  <si>
    <t>A*</t>
  </si>
  <si>
    <t>ACM KDD 2025</t>
  </si>
  <si>
    <t>https://kdd2025.kdd.org/</t>
  </si>
  <si>
    <t>Toronto, Canada</t>
  </si>
  <si>
    <t>SIGGRAPH 2025</t>
  </si>
  <si>
    <t>https://s2025.siggraph.org/</t>
  </si>
  <si>
    <t>INTERSPEECH 2025</t>
  </si>
  <si>
    <t>https://www.interspeech2025.org/</t>
  </si>
  <si>
    <t>Rotterdam, Netherlands</t>
  </si>
  <si>
    <t>ACM SIGCOMM 2025</t>
  </si>
  <si>
    <t>https://conferences.sigcomm.org/sigcomm/2025/</t>
  </si>
  <si>
    <t>Coimbra, Portugal</t>
  </si>
  <si>
    <t>ACM CCS 2025</t>
  </si>
  <si>
    <t>https://www.sigsac.org/ccs/CCS2025/</t>
  </si>
  <si>
    <t>Taipei, Taiwan</t>
  </si>
  <si>
    <t>ACM SOSP 2025</t>
  </si>
  <si>
    <t>https://sigops.org/s/conferences/sosp/2025/</t>
  </si>
  <si>
    <t>Seoul, South Korea</t>
  </si>
  <si>
    <t>ICCV 2025</t>
  </si>
  <si>
    <t>https://iccv.thecvf.com/Conferences/2025/Dates</t>
  </si>
  <si>
    <t>Honolulu, Hawaii, USA</t>
  </si>
  <si>
    <t>IROS 2025</t>
  </si>
  <si>
    <t>ACM Multimedia 2025</t>
  </si>
  <si>
    <t>https://acmmm2025.org/</t>
  </si>
  <si>
    <t>Dublin, Ireland</t>
  </si>
  <si>
    <t>IEEE VIS 2025</t>
  </si>
  <si>
    <t>https://ieeevis.org/</t>
  </si>
  <si>
    <t>EMNLP 2025</t>
  </si>
  <si>
    <t>https://2025.emnlp.org/</t>
  </si>
  <si>
    <t>Suzhou, China</t>
  </si>
  <si>
    <t>IEEE ICDM 2025</t>
  </si>
  <si>
    <t>https://www3.cs.stonybrook.edu/~icdm2025/index.html</t>
  </si>
  <si>
    <t>Washington, DC, USA</t>
  </si>
  <si>
    <t>SC 2025</t>
  </si>
  <si>
    <t>https://sc25.supercomputing.org/</t>
  </si>
  <si>
    <t>St. Louis, Missouri, USA</t>
  </si>
  <si>
    <t>ACM CoNEXT 2025</t>
  </si>
  <si>
    <t>https://conferences.sigcomm.org/co-next/2025/</t>
  </si>
  <si>
    <t>TBD</t>
  </si>
  <si>
    <t>NeurIPS 2025</t>
  </si>
  <si>
    <t>https://neurips.cc/Conferences/2025</t>
  </si>
  <si>
    <t>San Diego, California, USA</t>
  </si>
  <si>
    <t>IEEE BigData 2025</t>
  </si>
  <si>
    <t>http://bigdataieee.org/BigData2025/</t>
  </si>
  <si>
    <t>Macau, China</t>
  </si>
  <si>
    <t>https://www.iros25.org/</t>
  </si>
  <si>
    <t>Unranked</t>
  </si>
  <si>
    <t>B</t>
  </si>
  <si>
    <t>DC, SYS</t>
  </si>
  <si>
    <t>NLP</t>
  </si>
  <si>
    <t>DS, DM, AI</t>
  </si>
  <si>
    <t>CG</t>
  </si>
  <si>
    <t>SP</t>
  </si>
  <si>
    <t>NET</t>
  </si>
  <si>
    <t>SEC, CRYPTO</t>
  </si>
  <si>
    <t>OS, SYS</t>
  </si>
  <si>
    <t>CV</t>
  </si>
  <si>
    <t>ROB, AUTO</t>
  </si>
  <si>
    <t>MM</t>
  </si>
  <si>
    <t>VIS, VA</t>
  </si>
  <si>
    <t>DM</t>
  </si>
  <si>
    <t>HPC</t>
  </si>
  <si>
    <t>ML, AI</t>
  </si>
  <si>
    <t>BD, DE</t>
  </si>
  <si>
    <t>Conference Ranking</t>
  </si>
  <si>
    <t>IEEE BIBM 2025</t>
  </si>
  <si>
    <t>https://ieeebibm.org/</t>
  </si>
  <si>
    <t>Wuhan, China</t>
  </si>
  <si>
    <t>Bioinformatics, Big Data, Health Informatics</t>
  </si>
  <si>
    <t>The Web Conference 2025</t>
  </si>
  <si>
    <t>https://www2025.thewebconf.org/</t>
  </si>
  <si>
    <t>Sydney, Australia</t>
  </si>
  <si>
    <t>Web / Internet Technologies, Social Computing, Web Economics</t>
  </si>
  <si>
    <t>AAAI</t>
  </si>
  <si>
    <t>https://aaai.org/conference/aaai/aaai-26/</t>
  </si>
  <si>
    <t>Artificial Intelligence</t>
  </si>
  <si>
    <t>AAMAS</t>
  </si>
  <si>
    <t>https://aamas2025.org/</t>
  </si>
  <si>
    <t>Detroit, MI, USA</t>
  </si>
  <si>
    <t>Autonomous Agents; Multiagent Systems</t>
  </si>
  <si>
    <t>ACL</t>
  </si>
  <si>
    <t>Natural Language Processing</t>
  </si>
  <si>
    <t>ACMMM</t>
  </si>
  <si>
    <t>Multimedia Computing</t>
  </si>
  <si>
    <t>ASPLOS</t>
  </si>
  <si>
    <t>https://www.asplos-conference.org/asplos2025/</t>
  </si>
  <si>
    <t>Rotterdam, The Netherlands</t>
  </si>
  <si>
    <t>Computer Architecture; Programming Languages; Operating Systems</t>
  </si>
  <si>
    <t>CAV</t>
  </si>
  <si>
    <t>https://conferences.i-cav.org/2025/</t>
  </si>
  <si>
    <t>Zagreb, Croatia</t>
  </si>
  <si>
    <t>Formal Methods; Verification</t>
  </si>
  <si>
    <t>CCS</t>
  </si>
  <si>
    <t>Computer Security; Cryptography</t>
  </si>
  <si>
    <t>CHI</t>
  </si>
  <si>
    <t>https://chi2025.acm.org/</t>
  </si>
  <si>
    <t>Human–Computer Interaction</t>
  </si>
  <si>
    <t>COLT</t>
  </si>
  <si>
    <t>https://learningtheory.org/colt2025/</t>
  </si>
  <si>
    <t>Lyon, France</t>
  </si>
  <si>
    <t>Machine Learning; Theory</t>
  </si>
  <si>
    <t>CRYPTO</t>
  </si>
  <si>
    <t>https://crypto.iacr.org/2025/</t>
  </si>
  <si>
    <t>Santa Barbara, CA, USA</t>
  </si>
  <si>
    <t>Cryptography</t>
  </si>
  <si>
    <t>CSCL</t>
  </si>
  <si>
    <t>https://2025.isls.org/</t>
  </si>
  <si>
    <t>Helsinki, Finland</t>
  </si>
  <si>
    <t>Computer-Supported Collaborative Learning</t>
  </si>
  <si>
    <t>DCC</t>
  </si>
  <si>
    <t>https://datacompressionconference.org/</t>
  </si>
  <si>
    <t>Snowbird, Utah, USA</t>
  </si>
  <si>
    <t>Data Compression; Signal Processing</t>
  </si>
  <si>
    <t>DSN</t>
  </si>
  <si>
    <t>https://dsn2025.github.io/</t>
  </si>
  <si>
    <t>Naples, Italy</t>
  </si>
  <si>
    <t>Dependable Systems; Reliable Networks</t>
  </si>
  <si>
    <t>EuroCrypt</t>
  </si>
  <si>
    <t>https://eurocrypt.iacr.org/2025/</t>
  </si>
  <si>
    <t>Madrid, Spain</t>
  </si>
  <si>
    <t>Cryptography; Security</t>
  </si>
  <si>
    <t>FOCS</t>
  </si>
  <si>
    <t>https://focs.computer.org/2025/</t>
  </si>
  <si>
    <t>Theoretical Computer Science; Foundations</t>
  </si>
  <si>
    <t>FOGA</t>
  </si>
  <si>
    <t>https://naco.liacs.nl/foga2025/</t>
  </si>
  <si>
    <t>Leiden, The Netherlands</t>
  </si>
  <si>
    <t>Evolutionary Algorithms; Randomized Search Heuristics</t>
  </si>
  <si>
    <t>HPCA</t>
  </si>
  <si>
    <t>https://hpca-conf.org/2025/</t>
  </si>
  <si>
    <t>Las Vegas, Nevada, USA</t>
  </si>
  <si>
    <t>Computer Architecture; Parallel Computing</t>
  </si>
  <si>
    <t>I3DG</t>
  </si>
  <si>
    <t>https://i3dsymposium.org/2025/</t>
  </si>
  <si>
    <t>Jersey City, New Jersey, USA</t>
  </si>
  <si>
    <t>Real-time 3D Graphics; Human-Computer Interaction</t>
  </si>
  <si>
    <t>ICCV</t>
  </si>
  <si>
    <t>Computer Vision; Pattern Recognition</t>
  </si>
  <si>
    <t>ICDE</t>
  </si>
  <si>
    <t>https://ieee-icde.org/2025/</t>
  </si>
  <si>
    <t>Hong Kong SAR, China</t>
  </si>
  <si>
    <t>Data Engineering; Database Systems</t>
  </si>
  <si>
    <t>ICDM</t>
  </si>
  <si>
    <t>Data Mining; Machine Learning</t>
  </si>
  <si>
    <t>ICFP</t>
  </si>
  <si>
    <t>https://icfp25.sigplan.org/</t>
  </si>
  <si>
    <t>Functional Programming; Programming Languages</t>
  </si>
  <si>
    <t>ICIS</t>
  </si>
  <si>
    <t>https://icis2025.aisconferences.org/</t>
  </si>
  <si>
    <t>Nashville, Tennessee, USA</t>
  </si>
  <si>
    <t>Information Systems; MIS</t>
  </si>
  <si>
    <t>ICML</t>
  </si>
  <si>
    <t>https://icml.cc/Conferences/2025</t>
  </si>
  <si>
    <t>Machine Learning; AI</t>
  </si>
  <si>
    <t>ICSE</t>
  </si>
  <si>
    <t>https://conf.researchr.org/home/icse-2025</t>
  </si>
  <si>
    <t>Ottawa, Canada</t>
  </si>
  <si>
    <t>Software Engineering</t>
  </si>
  <si>
    <t>IJCAI</t>
  </si>
  <si>
    <t>https://2025.ijcai.org/</t>
  </si>
  <si>
    <t>Montreal, Canada</t>
  </si>
  <si>
    <t>IJCAR</t>
  </si>
  <si>
    <t>https://resources.illc.uva.nl/LogicList/newsitem.php?id=12052</t>
  </si>
  <si>
    <t>Reykjavik, Iceland</t>
  </si>
  <si>
    <t>Automated Reasoning</t>
  </si>
  <si>
    <t>ISCA</t>
  </si>
  <si>
    <t>https://www.iscaconf.org/isca2025/</t>
  </si>
  <si>
    <t>Cambridge, MA, USA</t>
  </si>
  <si>
    <t>Computer Architecture</t>
  </si>
  <si>
    <t>ISMAR</t>
  </si>
  <si>
    <t>https://www.ieeeismar.net/2025/</t>
  </si>
  <si>
    <t>Daejeon, South Korea</t>
  </si>
  <si>
    <t>Mixed and Augmented Reality</t>
  </si>
  <si>
    <t>ISSAC</t>
  </si>
  <si>
    <t>https://www.commalg.org/event/issac-2025/</t>
  </si>
  <si>
    <t>Guanajuato, Mexico</t>
  </si>
  <si>
    <t>Symbolic and Algebraic Computation</t>
  </si>
  <si>
    <t>ISWC</t>
  </si>
  <si>
    <t>https://iswc2025.semanticweb.org/#/calls/</t>
  </si>
  <si>
    <t>Nara, Japan</t>
  </si>
  <si>
    <t>Semantic Web</t>
  </si>
  <si>
    <t>KR</t>
  </si>
  <si>
    <t>https://www.wikicfp.com/cfp/program?id=1917</t>
  </si>
  <si>
    <t>Hanoi, Vietnam</t>
  </si>
  <si>
    <t>Knowledge Representation and Reasoning</t>
  </si>
  <si>
    <t>LICS</t>
  </si>
  <si>
    <t>https://lics.siglog.org/lics25/</t>
  </si>
  <si>
    <t>Logic in Computer Science</t>
  </si>
  <si>
    <t>NIPS</t>
  </si>
  <si>
    <t>San Diego Convention Center, San Diego, California, USA</t>
  </si>
  <si>
    <t>Machine Learning, AI</t>
  </si>
  <si>
    <t>OOPSLA</t>
  </si>
  <si>
    <t>https://2025.splashcon.org/track/OOPSLA</t>
  </si>
  <si>
    <t>Programming Languages; Software</t>
  </si>
  <si>
    <t>OSDI</t>
  </si>
  <si>
    <t>https://www.usenix.org/conference/osdi25</t>
  </si>
  <si>
    <t>Boston, Massachusetts, USA</t>
  </si>
  <si>
    <t>Operating Systems; Systems</t>
  </si>
  <si>
    <t>PERCOM</t>
  </si>
  <si>
    <t>https://percom.org/</t>
  </si>
  <si>
    <t>Pervasive Computing; IoT</t>
  </si>
  <si>
    <t>PERVASIVE</t>
  </si>
  <si>
    <t>https://pervasive.org/</t>
  </si>
  <si>
    <t>Ubiquitous Computing; Mobile Systems</t>
  </si>
  <si>
    <t>PLDI</t>
  </si>
  <si>
    <t>https://pldi25.sigplan.org/</t>
  </si>
  <si>
    <t>Programming Languages; Compilers</t>
  </si>
  <si>
    <t>PODC</t>
  </si>
  <si>
    <t>https://www.podc.org/podc2025/</t>
  </si>
  <si>
    <t>Santa María Huatulco, Mexico</t>
  </si>
  <si>
    <t>Distributed Computing; Algorithms</t>
  </si>
  <si>
    <t>PODS</t>
  </si>
  <si>
    <t>https://2025.sigmod.org/</t>
  </si>
  <si>
    <t>Berlin, Germany</t>
  </si>
  <si>
    <t>Database Theory; Systems</t>
  </si>
  <si>
    <t>POPL</t>
  </si>
  <si>
    <t>https://popl25.sigplan.org/</t>
  </si>
  <si>
    <t>Denver, Colorado, USA</t>
  </si>
  <si>
    <t>Programming Languages; Theory</t>
  </si>
  <si>
    <t>SIGGRAPH</t>
  </si>
  <si>
    <t>Vancouver, British Columbia, Canada</t>
  </si>
  <si>
    <t>Computer Graphics; Interactive Techniques</t>
  </si>
  <si>
    <t>SIGIR</t>
  </si>
  <si>
    <t>Information Retrieval</t>
  </si>
  <si>
    <t>SIGKDD</t>
  </si>
  <si>
    <t>Toronto, Ontario, Canada</t>
  </si>
  <si>
    <t>Data Mining; Data Science</t>
  </si>
  <si>
    <t>SIGMOD</t>
  </si>
  <si>
    <t>Database Systems</t>
  </si>
  <si>
    <t>SODA</t>
  </si>
  <si>
    <t>https://www.siam.org/conferences-events/siam-conferences/soda25</t>
  </si>
  <si>
    <t>New Orleans, Louisiana, USA</t>
  </si>
  <si>
    <t>Algorithms</t>
  </si>
  <si>
    <t>SOSP</t>
  </si>
  <si>
    <t>Seoul, Republic of Korea</t>
  </si>
  <si>
    <t>Operating Systems</t>
  </si>
  <si>
    <t>STOC</t>
  </si>
  <si>
    <t>https://acm-stoc.org/stoc2025/</t>
  </si>
  <si>
    <t>Prague, Czech Republic</t>
  </si>
  <si>
    <t>Theoretical Computer Science</t>
  </si>
  <si>
    <t>UAI</t>
  </si>
  <si>
    <t>https://www.auai.org/uai2025/</t>
  </si>
  <si>
    <t>Rio de Janeiro, Brazil</t>
  </si>
  <si>
    <t>Uncertainty in AI</t>
  </si>
  <si>
    <t>UbiComp</t>
  </si>
  <si>
    <t>https://www.ubicomp.org/ubicomp-iswc-2025/</t>
  </si>
  <si>
    <t>Espoo, Finland</t>
  </si>
  <si>
    <t>Ubiquitous Computing</t>
  </si>
  <si>
    <t>VLDB</t>
  </si>
  <si>
    <t>https://vldb.org/</t>
  </si>
  <si>
    <t>WWW</t>
  </si>
  <si>
    <t>Web Technologies</t>
  </si>
  <si>
    <t>https://iswc2025.semanticweb.org/</t>
  </si>
  <si>
    <t>Dependable Systems and Networks</t>
  </si>
  <si>
    <t>Information 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</si>
</sst>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"/>
    <numFmt numFmtId="165" formatCode="[$-409]mmmm\ d\,\ yyyy;@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7">
    <xf numFmtId="0" fontId="0" fillId="0" borderId="0" xfId="0"/>
    <xf numFmtId="17" fontId="0" fillId="0" borderId="0" xfId="0" applyNumberFormat="1"/>
    <xf numFmtId="0" fontId="19" fillId="0" borderId="0" xfId="42"/>
    <xf numFmtId="14" fontId="0" fillId="0" borderId="0" xfId="0" applyNumberFormat="1"/>
    <xf numFmtId="164" fontId="0" fillId="0" borderId="0" xfId="0" applyNumberFormat="1"/>
    <xf numFmtId="165" fontId="0" fillId="0" borderId="0" xfId="0" applyNumberFormat="1" applyAlignment="1">
      <alignment horizontal="left"/>
    </xf>
    <xf numFmtId="165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64" formatCode="d/mm/yyyy"/>
    </dxf>
    <dxf>
      <numFmt numFmtId="165" formatCode="[$-409]mmmm\ d\,\ yyyy;@"/>
    </dxf>
    <dxf>
      <numFmt numFmtId="165" formatCode="[$-409]mmmm\ d\,\ 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A48897-9DED-439A-98D5-28C4BB80A580}" name="Table2" displayName="Table2" ref="A1:I109" totalsRowShown="0">
  <autoFilter ref="A1:I109" xr:uid="{64A48897-9DED-439A-98D5-28C4BB80A580}"/>
  <sortState xmlns:xlrd2="http://schemas.microsoft.com/office/spreadsheetml/2017/richdata2" ref="A2:H35">
    <sortCondition ref="H1:H35"/>
  </sortState>
  <tableColumns count="9">
    <tableColumn id="1" xr3:uid="{409A668A-3F4E-4605-90DC-D3F4B38A9591}" name="Conference / Symposia Name"/>
    <tableColumn id="2" xr3:uid="{C4E02280-0378-4D10-B88F-19190743F97B}" name="Website"/>
    <tableColumn id="3" xr3:uid="{A05A3720-F706-4044-90A5-EF04DE32B3E3}" name="Location"/>
    <tableColumn id="4" xr3:uid="{012E18B5-DF7C-4C2D-B2ED-D0881F4CDF1E}" name="Abstract Submission Date" dataDxfId="2"/>
    <tableColumn id="5" xr3:uid="{3A8BFA79-ECD3-491B-BA11-4E2AAC6C6AE1}" name="Paper Submission Date" dataDxfId="1"/>
    <tableColumn id="6" xr3:uid="{993036C4-A137-4562-889F-8296D34778D6}" name="Conference Date"/>
    <tableColumn id="7" xr3:uid="{8594D4CD-3E7C-4F78-B15E-C50A47A7A6F1}" name="Research Area(s)"/>
    <tableColumn id="8" xr3:uid="{670FBADE-8047-4443-A177-87CFFD01BBD6}" name="date number for the Abstract Submission (number used for ordering)" dataDxfId="0">
      <calculatedColumnFormula>IF(ISERROR(DATEVALUE(MID(D2, FIND(" ", D2)+1, FIND(",", D2)-FIND(" ", D2)-1) &amp; "-" &amp; LEFT(D2, FIND(" ", D2)-1) &amp; "-" &amp; RIGHT(D2, 4))), "20260101", TEXT(DATEVALUE(MID(D2, FIND(" ", D2)+1, FIND(",", D2)-FIND(" ", D2)-1) &amp; "-" &amp; LEFT(D2, FIND(" ", D2)-1) &amp; "-" &amp; RIGHT(D2, 4)), "YYYYMMDD"))</calculatedColumnFormula>
    </tableColumn>
    <tableColumn id="9" xr3:uid="{E2B3A43B-0C64-F444-8A7C-9DFF5BCC8EAE}" name="Conference Rank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nll.org/" TargetMode="External"/><Relationship Id="rId13" Type="http://schemas.openxmlformats.org/officeDocument/2006/relationships/hyperlink" Target="https://cvpr.thecvf.com/Conferences/2025" TargetMode="External"/><Relationship Id="rId3" Type="http://schemas.openxmlformats.org/officeDocument/2006/relationships/hyperlink" Target="https://2025.naacl.org/" TargetMode="External"/><Relationship Id="rId7" Type="http://schemas.openxmlformats.org/officeDocument/2006/relationships/hyperlink" Target="https://amia.org/education-events/amia-2025-informatics-summit" TargetMode="External"/><Relationship Id="rId12" Type="http://schemas.openxmlformats.org/officeDocument/2006/relationships/hyperlink" Target="https://fllm-conference.org/2024/" TargetMode="External"/><Relationship Id="rId2" Type="http://schemas.openxmlformats.org/officeDocument/2006/relationships/hyperlink" Target="https://clinical-nlp.github.io/2024/" TargetMode="External"/><Relationship Id="rId1" Type="http://schemas.openxmlformats.org/officeDocument/2006/relationships/hyperlink" Target="https://2025.aclweb.org/program/workshops/" TargetMode="External"/><Relationship Id="rId6" Type="http://schemas.openxmlformats.org/officeDocument/2006/relationships/hyperlink" Target="https://sigir2025.dei.unipd.it/" TargetMode="External"/><Relationship Id="rId11" Type="http://schemas.openxmlformats.org/officeDocument/2006/relationships/hyperlink" Target="https://ieeebibm.org/BIBM2024/" TargetMode="External"/><Relationship Id="rId5" Type="http://schemas.openxmlformats.org/officeDocument/2006/relationships/hyperlink" Target="https://irmv.sjtu.edu.cn/iros2025/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https://conferenceindex.org/event/international-conference-on-language-resources-and-evaluation-iclre-2025-august-budapest-hu" TargetMode="External"/><Relationship Id="rId4" Type="http://schemas.openxmlformats.org/officeDocument/2006/relationships/hyperlink" Target="https://2024.emnlp.org/" TargetMode="External"/><Relationship Id="rId9" Type="http://schemas.openxmlformats.org/officeDocument/2006/relationships/hyperlink" Target="https://psb.stanford.edu/" TargetMode="External"/><Relationship Id="rId14" Type="http://schemas.openxmlformats.org/officeDocument/2006/relationships/hyperlink" Target="https://2025.sigmod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C15BD-5398-47AB-9910-34B3F536DAF6}">
  <dimension ref="A1:I109"/>
  <sheetViews>
    <sheetView tabSelected="1" workbookViewId="0">
      <pane ySplit="1" topLeftCell="A77" activePane="bottomLeft" state="frozen"/>
      <selection pane="bottomLeft" activeCell="E112" sqref="E112"/>
    </sheetView>
  </sheetViews>
  <sheetFormatPr baseColWidth="10" defaultColWidth="8.83203125" defaultRowHeight="15" x14ac:dyDescent="0.2"/>
  <cols>
    <col min="1" max="1" width="69.33203125" bestFit="1" customWidth="1"/>
    <col min="2" max="2" width="13.1640625" customWidth="1"/>
    <col min="3" max="3" width="25.83203125" bestFit="1" customWidth="1"/>
    <col min="4" max="4" width="24.5" customWidth="1"/>
    <col min="5" max="5" width="22.33203125" customWidth="1"/>
    <col min="6" max="6" width="20.83203125" customWidth="1"/>
    <col min="7" max="7" width="17.1640625" customWidth="1"/>
    <col min="8" max="8" width="52.83203125" customWidth="1"/>
    <col min="9" max="9" width="20.8320312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46</v>
      </c>
      <c r="G1" t="s">
        <v>5</v>
      </c>
      <c r="H1" t="s">
        <v>197</v>
      </c>
      <c r="I1" t="s">
        <v>276</v>
      </c>
    </row>
    <row r="2" spans="1:9" x14ac:dyDescent="0.2">
      <c r="A2" t="s">
        <v>152</v>
      </c>
      <c r="B2" t="s">
        <v>153</v>
      </c>
      <c r="C2" t="s">
        <v>71</v>
      </c>
      <c r="D2" s="6" t="s">
        <v>154</v>
      </c>
      <c r="E2" s="6" t="s">
        <v>155</v>
      </c>
      <c r="F2" t="s">
        <v>12</v>
      </c>
      <c r="G2" t="s">
        <v>171</v>
      </c>
      <c r="H2" s="3" t="str">
        <f>IF(ISERROR(DATEVALUE(MID(D2, FIND(" ", D2)+1, FIND(",", D2)-FIND(" ", D2)-1) &amp; "-" &amp; LEFT(D2, FIND(" ", D2)-1) &amp; "-" &amp; RIGHT(D2, 4))), "20260101", TEXT(DATEVALUE(MID(D2, FIND(" ", D2)+1, FIND(",", D2)-FIND(" ", D2)-1) &amp; "-" &amp; LEFT(D2, FIND(" ", D2)-1) &amp; "-" &amp; RIGHT(D2, 4)), "YYYYMMDD"))</f>
        <v>20240305</v>
      </c>
      <c r="I2" t="s">
        <v>209</v>
      </c>
    </row>
    <row r="3" spans="1:9" x14ac:dyDescent="0.2">
      <c r="A3" t="s">
        <v>137</v>
      </c>
      <c r="B3" s="2" t="s">
        <v>138</v>
      </c>
      <c r="C3" t="s">
        <v>175</v>
      </c>
      <c r="D3" s="6" t="s">
        <v>176</v>
      </c>
      <c r="E3" s="6" t="s">
        <v>178</v>
      </c>
      <c r="F3" s="1" t="s">
        <v>177</v>
      </c>
      <c r="G3" t="s">
        <v>166</v>
      </c>
      <c r="H3" s="3" t="str">
        <f>IF(ISERROR(DATEVALUE(MID(D3, FIND(" ", D3)+1, FIND(",", D3)-FIND(" ", D3)-1) &amp; "-" &amp; LEFT(D3, FIND(" ", D3)-1) &amp; "-" &amp; RIGHT(D3, 4))), "20260101", TEXT(DATEVALUE(MID(D3, FIND(" ", D3)+1, FIND(",", D3)-FIND(" ", D3)-1) &amp; "-" &amp; LEFT(D3, FIND(" ", D3)-1) &amp; "-" &amp; RIGHT(D3, 4)), "YYYYMMDD"))</f>
        <v>20240319</v>
      </c>
      <c r="I3" t="s">
        <v>258</v>
      </c>
    </row>
    <row r="4" spans="1:9" x14ac:dyDescent="0.2">
      <c r="A4" t="s">
        <v>147</v>
      </c>
      <c r="B4" t="s">
        <v>148</v>
      </c>
      <c r="C4" t="s">
        <v>149</v>
      </c>
      <c r="D4" s="6" t="s">
        <v>150</v>
      </c>
      <c r="E4" s="6" t="s">
        <v>151</v>
      </c>
      <c r="F4" t="s">
        <v>12</v>
      </c>
      <c r="G4" t="s">
        <v>170</v>
      </c>
      <c r="H4" s="3" t="str">
        <f>IF(ISERROR(DATEVALUE(MID(D4, FIND(" ", D4)+1, FIND(",", D4)-FIND(" ", D4)-1) &amp; "-" &amp; LEFT(D4, FIND(" ", D4)-1) &amp; "-" &amp; RIGHT(D4, 4))), "20260101", TEXT(DATEVALUE(MID(D4, FIND(" ", D4)+1, FIND(",", D4)-FIND(" ", D4)-1) &amp; "-" &amp; LEFT(D4, FIND(" ", D4)-1) &amp; "-" &amp; RIGHT(D4, 4)), "YYYYMMDD"))</f>
        <v>20240421</v>
      </c>
      <c r="I4" t="s">
        <v>258</v>
      </c>
    </row>
    <row r="5" spans="1:9" x14ac:dyDescent="0.2">
      <c r="A5" t="s">
        <v>156</v>
      </c>
      <c r="B5" s="2" t="s">
        <v>157</v>
      </c>
      <c r="C5" t="s">
        <v>158</v>
      </c>
      <c r="D5" s="6" t="s">
        <v>159</v>
      </c>
      <c r="E5" s="6" t="s">
        <v>160</v>
      </c>
      <c r="F5" t="s">
        <v>192</v>
      </c>
      <c r="G5" t="s">
        <v>172</v>
      </c>
      <c r="H5" s="3" t="str">
        <f>IF(ISERROR(DATEVALUE(MID(D5, FIND(" ", D5)+1, FIND(",", D5)-FIND(" ", D5)-1) &amp; "-" &amp; LEFT(D5, FIND(" ", D5)-1) &amp; "-" &amp; RIGHT(D5, 4))), "20260101", TEXT(DATEVALUE(MID(D5, FIND(" ", D5)+1, FIND(",", D5)-FIND(" ", D5)-1) &amp; "-" &amp; LEFT(D5, FIND(" ", D5)-1) &amp; "-" &amp; RIGHT(D5, 4)), "YYYYMMDD"))</f>
        <v>20240530</v>
      </c>
      <c r="I5" t="s">
        <v>258</v>
      </c>
    </row>
    <row r="6" spans="1:9" x14ac:dyDescent="0.2">
      <c r="A6" t="s">
        <v>145</v>
      </c>
      <c r="B6" s="2" t="s">
        <v>146</v>
      </c>
      <c r="C6" t="s">
        <v>181</v>
      </c>
      <c r="D6" s="6" t="s">
        <v>182</v>
      </c>
      <c r="E6" s="6" t="s">
        <v>183</v>
      </c>
      <c r="F6" s="1" t="s">
        <v>184</v>
      </c>
      <c r="G6" t="s">
        <v>169</v>
      </c>
      <c r="H6" s="3" t="str">
        <f>IF(ISERROR(DATEVALUE(MID(D6, FIND(" ", D6)+1, FIND(",", D6)-FIND(" ", D6)-1) &amp; "-" &amp; LEFT(D6, FIND(" ", D6)-1) &amp; "-" &amp; RIGHT(D6, 4))), "20260101", TEXT(DATEVALUE(MID(D6, FIND(" ", D6)+1, FIND(",", D6)-FIND(" ", D6)-1) &amp; "-" &amp; LEFT(D6, FIND(" ", D6)-1) &amp; "-" &amp; RIGHT(D6, 4)), "YYYYMMDD"))</f>
        <v>20240615</v>
      </c>
      <c r="I6" t="s">
        <v>212</v>
      </c>
    </row>
    <row r="7" spans="1:9" x14ac:dyDescent="0.2">
      <c r="A7" t="s">
        <v>173</v>
      </c>
      <c r="B7" s="2" t="s">
        <v>126</v>
      </c>
      <c r="C7" t="s">
        <v>174</v>
      </c>
      <c r="D7" s="6" t="s">
        <v>127</v>
      </c>
      <c r="E7" s="6" t="s">
        <v>200</v>
      </c>
      <c r="F7" t="s">
        <v>54</v>
      </c>
      <c r="G7" t="s">
        <v>162</v>
      </c>
      <c r="H7" s="3" t="str">
        <f>IF(ISERROR(DATEVALUE(MID(D7, FIND(" ", D7)+1, FIND(",", D7)-FIND(" ", D7)-1) &amp; "-" &amp; LEFT(D7, FIND(" ", D7)-1) &amp; "-" &amp; RIGHT(D7, 4))), "20260101", TEXT(DATEVALUE(MID(D7, FIND(" ", D7)+1, FIND(",", D7)-FIND(" ", D7)-1) &amp; "-" &amp; LEFT(D7, FIND(" ", D7)-1) &amp; "-" &amp; RIGHT(D7, 4)), "YYYYMMDD"))</f>
        <v>20240707</v>
      </c>
      <c r="I7" t="s">
        <v>209</v>
      </c>
    </row>
    <row r="8" spans="1:9" x14ac:dyDescent="0.2">
      <c r="A8" t="s">
        <v>128</v>
      </c>
      <c r="B8" s="2" t="s">
        <v>129</v>
      </c>
      <c r="C8" t="s">
        <v>130</v>
      </c>
      <c r="D8" s="6" t="s">
        <v>193</v>
      </c>
      <c r="E8" s="6" t="s">
        <v>194</v>
      </c>
      <c r="F8" t="s">
        <v>187</v>
      </c>
      <c r="G8" t="s">
        <v>163</v>
      </c>
      <c r="H8" s="3" t="str">
        <f>IF(ISERROR(DATEVALUE(MID(D8, FIND(" ", D8)+1, FIND(",", D8)-FIND(" ", D8)-1) &amp; "-" &amp; LEFT(D8, FIND(" ", D8)-1) &amp; "-" &amp; RIGHT(D8, 4))), "20260101", TEXT(DATEVALUE(MID(D8, FIND(" ", D8)+1, FIND(",", D8)-FIND(" ", D8)-1) &amp; "-" &amp; LEFT(D8, FIND(" ", D8)-1) &amp; "-" &amp; RIGHT(D8, 4)), "YYYYMMDD"))</f>
        <v>20240801</v>
      </c>
      <c r="I8" t="s">
        <v>259</v>
      </c>
    </row>
    <row r="9" spans="1:9" x14ac:dyDescent="0.2">
      <c r="A9" t="s">
        <v>6</v>
      </c>
      <c r="B9" t="s">
        <v>7</v>
      </c>
      <c r="C9" t="s">
        <v>47</v>
      </c>
      <c r="D9" s="6" t="s">
        <v>195</v>
      </c>
      <c r="E9" s="6" t="s">
        <v>8</v>
      </c>
      <c r="F9" t="s">
        <v>48</v>
      </c>
      <c r="G9" t="s">
        <v>49</v>
      </c>
      <c r="H9" s="3" t="str">
        <f>IF(ISERROR(DATEVALUE(MID(D9, FIND(" ", D9)+1, FIND(",", D9)-FIND(" ", D9)-1) &amp; "-" &amp; LEFT(D9, FIND(" ", D9)-1) &amp; "-" &amp; RIGHT(D9, 4))), "20260101", TEXT(DATEVALUE(MID(D9, FIND(" ", D9)+1, FIND(",", D9)-FIND(" ", D9)-1) &amp; "-" &amp; LEFT(D9, FIND(" ", D9)-1) &amp; "-" &amp; RIGHT(D9, 4)), "YYYYMMDD"))</f>
        <v>20240807</v>
      </c>
      <c r="I9" t="s">
        <v>258</v>
      </c>
    </row>
    <row r="10" spans="1:9" x14ac:dyDescent="0.2">
      <c r="A10" t="s">
        <v>139</v>
      </c>
      <c r="B10" s="2" t="s">
        <v>140</v>
      </c>
      <c r="C10" t="s">
        <v>141</v>
      </c>
      <c r="D10" s="6" t="s">
        <v>142</v>
      </c>
      <c r="E10" s="6" t="s">
        <v>142</v>
      </c>
      <c r="F10" t="s">
        <v>190</v>
      </c>
      <c r="G10" t="s">
        <v>167</v>
      </c>
      <c r="H10" s="3" t="str">
        <f>IF(ISERROR(DATEVALUE(MID(D10, FIND(" ", D10)+1, FIND(",", D10)-FIND(" ", D10)-1) &amp; "-" &amp; LEFT(D10, FIND(" ", D10)-1) &amp; "-" &amp; RIGHT(D10, 4))), "20260101", TEXT(DATEVALUE(MID(D10, FIND(" ", D10)+1, FIND(",", D10)-FIND(" ", D10)-1) &amp; "-" &amp; LEFT(D10, FIND(" ", D10)-1) &amp; "-" &amp; RIGHT(D10, 4)), "YYYYMMDD"))</f>
        <v>20240816</v>
      </c>
      <c r="I10" t="s">
        <v>259</v>
      </c>
    </row>
    <row r="11" spans="1:9" x14ac:dyDescent="0.2">
      <c r="A11" t="s">
        <v>40</v>
      </c>
      <c r="B11" t="s">
        <v>41</v>
      </c>
      <c r="C11" t="s">
        <v>74</v>
      </c>
      <c r="D11" s="6" t="s">
        <v>101</v>
      </c>
      <c r="E11" s="6" t="s">
        <v>201</v>
      </c>
      <c r="F11" t="s">
        <v>110</v>
      </c>
      <c r="G11" t="s">
        <v>102</v>
      </c>
      <c r="H11" s="3" t="str">
        <f>IF(ISERROR(DATEVALUE(MID(D11, FIND(" ", D11)+1, FIND(",", D11)-FIND(" ", D11)-1) &amp; "-" &amp; LEFT(D11, FIND(" ", D11)-1) &amp; "-" &amp; RIGHT(D11, 4))), "20260101", TEXT(DATEVALUE(MID(D11, FIND(" ", D11)+1, FIND(",", D11)-FIND(" ", D11)-1) &amp; "-" &amp; LEFT(D11, FIND(" ", D11)-1) &amp; "-" &amp; RIGHT(D11, 4)), "YYYYMMDD"))</f>
        <v>20240905</v>
      </c>
      <c r="I11" t="s">
        <v>212</v>
      </c>
    </row>
    <row r="12" spans="1:9" x14ac:dyDescent="0.2">
      <c r="A12" t="s">
        <v>9</v>
      </c>
      <c r="B12" t="s">
        <v>10</v>
      </c>
      <c r="C12" t="s">
        <v>11</v>
      </c>
      <c r="D12" s="6" t="s">
        <v>12</v>
      </c>
      <c r="E12" s="6" t="s">
        <v>13</v>
      </c>
      <c r="F12" t="s">
        <v>51</v>
      </c>
      <c r="G12" t="s">
        <v>50</v>
      </c>
      <c r="H12" s="3" t="str">
        <f>IF(ISERROR(DATEVALUE(MID(D12, FIND(" ", D12)+1, FIND(",", D12)-FIND(" ", D12)-1) &amp; "-" &amp; LEFT(D12, FIND(" ", D12)-1) &amp; "-" &amp; RIGHT(D12, 4))), "20260101", TEXT(DATEVALUE(MID(D12, FIND(" ", D12)+1, FIND(",", D12)-FIND(" ", D12)-1) &amp; "-" &amp; LEFT(D12, FIND(" ", D12)-1) &amp; "-" &amp; RIGHT(D12, 4)), "YYYYMMDD"))</f>
        <v>20240909</v>
      </c>
      <c r="I12" t="s">
        <v>258</v>
      </c>
    </row>
    <row r="13" spans="1:9" x14ac:dyDescent="0.2">
      <c r="A13" t="s">
        <v>14</v>
      </c>
      <c r="B13" t="s">
        <v>15</v>
      </c>
      <c r="C13" t="s">
        <v>52</v>
      </c>
      <c r="D13" s="6" t="s">
        <v>53</v>
      </c>
      <c r="E13" s="6" t="s">
        <v>53</v>
      </c>
      <c r="F13" t="s">
        <v>82</v>
      </c>
      <c r="G13" t="s">
        <v>55</v>
      </c>
      <c r="H13" s="3" t="str">
        <f>IF(ISERROR(DATEVALUE(MID(D13, FIND(" ", D13)+1, FIND(",", D13)-FIND(" ", D13)-1) &amp; "-" &amp; LEFT(D13, FIND(" ", D13)-1) &amp; "-" &amp; RIGHT(D13, 4))), "20260101", TEXT(DATEVALUE(MID(D13, FIND(" ", D13)+1, FIND(",", D13)-FIND(" ", D13)-1) &amp; "-" &amp; LEFT(D13, FIND(" ", D13)-1) &amp; "-" &amp; RIGHT(D13, 4)), "YYYYMMDD"))</f>
        <v>20240915</v>
      </c>
      <c r="I13" t="s">
        <v>212</v>
      </c>
    </row>
    <row r="14" spans="1:9" x14ac:dyDescent="0.2">
      <c r="A14" t="s">
        <v>122</v>
      </c>
      <c r="B14" s="2" t="s">
        <v>123</v>
      </c>
      <c r="C14" t="s">
        <v>124</v>
      </c>
      <c r="D14" s="6" t="s">
        <v>125</v>
      </c>
      <c r="E14" s="6" t="s">
        <v>125</v>
      </c>
      <c r="F14" t="s">
        <v>186</v>
      </c>
      <c r="G14" t="s">
        <v>161</v>
      </c>
      <c r="H14" s="3" t="str">
        <f>IF(ISERROR(DATEVALUE(MID(D14, FIND(" ", D14)+1, FIND(",", D14)-FIND(" ", D14)-1) &amp; "-" &amp; LEFT(D14, FIND(" ", D14)-1) &amp; "-" &amp; RIGHT(D14, 4))), "20260101", TEXT(DATEVALUE(MID(D14, FIND(" ", D14)+1, FIND(",", D14)-FIND(" ", D14)-1) &amp; "-" &amp; LEFT(D14, FIND(" ", D14)-1) &amp; "-" &amp; RIGHT(D14, 4)), "YYYYMMDD"))</f>
        <v>20240917</v>
      </c>
      <c r="I14" t="s">
        <v>258</v>
      </c>
    </row>
    <row r="15" spans="1:9" x14ac:dyDescent="0.2">
      <c r="A15" t="s">
        <v>16</v>
      </c>
      <c r="B15" t="s">
        <v>17</v>
      </c>
      <c r="C15" t="s">
        <v>18</v>
      </c>
      <c r="D15" s="6" t="s">
        <v>19</v>
      </c>
      <c r="E15" s="6" t="s">
        <v>20</v>
      </c>
      <c r="F15" t="s">
        <v>56</v>
      </c>
      <c r="G15" t="s">
        <v>57</v>
      </c>
      <c r="H15" s="3" t="str">
        <f>IF(ISERROR(DATEVALUE(MID(D15, FIND(" ", D15)+1, FIND(",", D15)-FIND(" ", D15)-1) &amp; "-" &amp; LEFT(D15, FIND(" ", D15)-1) &amp; "-" &amp; RIGHT(D15, 4))), "20260101", TEXT(DATEVALUE(MID(D15, FIND(" ", D15)+1, FIND(",", D15)-FIND(" ", D15)-1) &amp; "-" &amp; LEFT(D15, FIND(" ", D15)-1) &amp; "-" &amp; RIGHT(D15, 4)), "YYYYMMDD"))</f>
        <v>20240927</v>
      </c>
      <c r="I15" t="s">
        <v>212</v>
      </c>
    </row>
    <row r="16" spans="1:9" x14ac:dyDescent="0.2">
      <c r="A16" t="s">
        <v>26</v>
      </c>
      <c r="B16" t="s">
        <v>27</v>
      </c>
      <c r="C16" t="s">
        <v>71</v>
      </c>
      <c r="D16" s="6" t="s">
        <v>20</v>
      </c>
      <c r="E16" s="6" t="s">
        <v>72</v>
      </c>
      <c r="F16" t="s">
        <v>83</v>
      </c>
      <c r="G16" t="s">
        <v>73</v>
      </c>
      <c r="H16" s="3" t="str">
        <f>IF(ISERROR(DATEVALUE(MID(D16, FIND(" ", D16)+1, FIND(",", D16)-FIND(" ", D16)-1) &amp; "-" &amp; LEFT(D16, FIND(" ", D16)-1) &amp; "-" &amp; RIGHT(D16, 4))), "20260101", TEXT(DATEVALUE(MID(D16, FIND(" ", D16)+1, FIND(",", D16)-FIND(" ", D16)-1) &amp; "-" &amp; LEFT(D16, FIND(" ", D16)-1) &amp; "-" &amp; RIGHT(D16, 4)), "YYYYMMDD"))</f>
        <v>20241001</v>
      </c>
      <c r="I16" t="s">
        <v>212</v>
      </c>
    </row>
    <row r="17" spans="1:9" x14ac:dyDescent="0.2">
      <c r="A17" t="s">
        <v>21</v>
      </c>
      <c r="B17" t="s">
        <v>22</v>
      </c>
      <c r="C17" t="s">
        <v>58</v>
      </c>
      <c r="D17" s="6" t="s">
        <v>59</v>
      </c>
      <c r="E17" s="6" t="s">
        <v>60</v>
      </c>
      <c r="F17" t="s">
        <v>61</v>
      </c>
      <c r="G17" t="s">
        <v>62</v>
      </c>
      <c r="H17" s="3" t="str">
        <f>IF(ISERROR(DATEVALUE(MID(D17, FIND(" ", D17)+1, FIND(",", D17)-FIND(" ", D17)-1) &amp; "-" &amp; LEFT(D17, FIND(" ", D17)-1) &amp; "-" &amp; RIGHT(D17, 4))), "20260101", TEXT(DATEVALUE(MID(D17, FIND(" ", D17)+1, FIND(",", D17)-FIND(" ", D17)-1) &amp; "-" &amp; LEFT(D17, FIND(" ", D17)-1) &amp; "-" &amp; RIGHT(D17, 4)), "YYYYMMDD"))</f>
        <v>20241003</v>
      </c>
      <c r="I17" t="s">
        <v>209</v>
      </c>
    </row>
    <row r="18" spans="1:9" x14ac:dyDescent="0.2">
      <c r="A18" t="s">
        <v>24</v>
      </c>
      <c r="B18" t="s">
        <v>25</v>
      </c>
      <c r="C18" t="s">
        <v>67</v>
      </c>
      <c r="D18" s="6" t="s">
        <v>68</v>
      </c>
      <c r="E18" s="6" t="s">
        <v>69</v>
      </c>
      <c r="F18" t="s">
        <v>82</v>
      </c>
      <c r="G18" t="s">
        <v>70</v>
      </c>
      <c r="H18" s="3" t="str">
        <f>IF(ISERROR(DATEVALUE(MID(D18, FIND(" ", D18)+1, FIND(",", D18)-FIND(" ", D18)-1) &amp; "-" &amp; LEFT(D18, FIND(" ", D18)-1) &amp; "-" &amp; RIGHT(D18, 4))), "20260101", TEXT(DATEVALUE(MID(D18, FIND(" ", D18)+1, FIND(",", D18)-FIND(" ", D18)-1) &amp; "-" &amp; LEFT(D18, FIND(" ", D18)-1) &amp; "-" &amp; RIGHT(D18, 4)), "YYYYMMDD"))</f>
        <v>20241009</v>
      </c>
      <c r="I18" t="s">
        <v>209</v>
      </c>
    </row>
    <row r="19" spans="1:9" x14ac:dyDescent="0.2">
      <c r="A19" t="s">
        <v>143</v>
      </c>
      <c r="B19" s="2" t="s">
        <v>144</v>
      </c>
      <c r="C19" t="s">
        <v>179</v>
      </c>
      <c r="D19" s="6" t="s">
        <v>72</v>
      </c>
      <c r="E19" s="6" t="s">
        <v>191</v>
      </c>
      <c r="F19" t="s">
        <v>191</v>
      </c>
      <c r="G19" t="s">
        <v>168</v>
      </c>
      <c r="H19" s="3" t="str">
        <f>IF(ISERROR(DATEVALUE(MID(D19, FIND(" ", D19)+1, FIND(",", D19)-FIND(" ", D19)-1) &amp; "-" &amp; LEFT(D19, FIND(" ", D19)-1) &amp; "-" &amp; RIGHT(D19, 4))), "20260101", TEXT(DATEVALUE(MID(D19, FIND(" ", D19)+1, FIND(",", D19)-FIND(" ", D19)-1) &amp; "-" &amp; LEFT(D19, FIND(" ", D19)-1) &amp; "-" &amp; RIGHT(D19, 4)), "YYYYMMDD"))</f>
        <v>20241015</v>
      </c>
      <c r="I19" t="s">
        <v>209</v>
      </c>
    </row>
    <row r="20" spans="1:9" x14ac:dyDescent="0.2">
      <c r="A20" t="s">
        <v>23</v>
      </c>
      <c r="B20" s="2" t="s">
        <v>202</v>
      </c>
      <c r="C20" t="s">
        <v>63</v>
      </c>
      <c r="D20" s="6" t="s">
        <v>64</v>
      </c>
      <c r="E20" s="6" t="s">
        <v>65</v>
      </c>
      <c r="F20" t="s">
        <v>203</v>
      </c>
      <c r="G20" t="s">
        <v>66</v>
      </c>
      <c r="H20" s="3" t="str">
        <f>IF(ISERROR(DATEVALUE(MID(D20, FIND(" ", D20)+1, FIND(",", D20)-FIND(" ", D20)-1) &amp; "-" &amp; LEFT(D20, FIND(" ", D20)-1) &amp; "-" &amp; RIGHT(D20, 4))), "20260101", TEXT(DATEVALUE(MID(D20, FIND(" ", D20)+1, FIND(",", D20)-FIND(" ", D20)-1) &amp; "-" &amp; LEFT(D20, FIND(" ", D20)-1) &amp; "-" &amp; RIGHT(D20, 4)), "YYYYMMDD"))</f>
        <v>20241108</v>
      </c>
      <c r="I20" t="s">
        <v>212</v>
      </c>
    </row>
    <row r="21" spans="1:9" x14ac:dyDescent="0.2">
      <c r="A21" t="s">
        <v>118</v>
      </c>
      <c r="B21" s="2" t="s">
        <v>119</v>
      </c>
      <c r="C21" t="s">
        <v>120</v>
      </c>
      <c r="D21" s="6" t="s">
        <v>196</v>
      </c>
      <c r="E21" s="6" t="s">
        <v>196</v>
      </c>
      <c r="F21" t="s">
        <v>83</v>
      </c>
      <c r="G21" t="s">
        <v>121</v>
      </c>
      <c r="H21" s="3" t="str">
        <f>IF(ISERROR(DATEVALUE(MID(D21, FIND(" ", D21)+1, FIND(",", D21)-FIND(" ", D21)-1) &amp; "-" &amp; LEFT(D21, FIND(" ", D21)-1) &amp; "-" &amp; RIGHT(D21, 4))), "20260101", TEXT(DATEVALUE(MID(D21, FIND(" ", D21)+1, FIND(",", D21)-FIND(" ", D21)-1) &amp; "-" &amp; LEFT(D21, FIND(" ", D21)-1) &amp; "-" &amp; RIGHT(D21, 4)), "YYYYMMDD"))</f>
        <v>20250101</v>
      </c>
      <c r="I21" t="s">
        <v>258</v>
      </c>
    </row>
    <row r="22" spans="1:9" x14ac:dyDescent="0.2">
      <c r="A22" t="s">
        <v>131</v>
      </c>
      <c r="B22" t="s">
        <v>132</v>
      </c>
      <c r="C22" t="s">
        <v>180</v>
      </c>
      <c r="D22" s="6" t="s">
        <v>133</v>
      </c>
      <c r="E22" s="6" t="s">
        <v>95</v>
      </c>
      <c r="F22" t="s">
        <v>188</v>
      </c>
      <c r="G22" t="s">
        <v>164</v>
      </c>
      <c r="H22" s="3" t="str">
        <f>IF(ISERROR(DATEVALUE(MID(D22, FIND(" ", D22)+1, FIND(",", D22)-FIND(" ", D22)-1) &amp; "-" &amp; LEFT(D22, FIND(" ", D22)-1) &amp; "-" &amp; RIGHT(D22, 4))), "20260101", TEXT(DATEVALUE(MID(D22, FIND(" ", D22)+1, FIND(",", D22)-FIND(" ", D22)-1) &amp; "-" &amp; LEFT(D22, FIND(" ", D22)-1) &amp; "-" &amp; RIGHT(D22, 4)), "YYYYMMDD"))</f>
        <v>20250102</v>
      </c>
      <c r="I22" t="s">
        <v>258</v>
      </c>
    </row>
    <row r="23" spans="1:9" x14ac:dyDescent="0.2">
      <c r="A23" t="s">
        <v>36</v>
      </c>
      <c r="B23" t="s">
        <v>37</v>
      </c>
      <c r="C23" t="s">
        <v>204</v>
      </c>
      <c r="D23" s="6" t="s">
        <v>93</v>
      </c>
      <c r="E23" s="6" t="s">
        <v>76</v>
      </c>
      <c r="F23" t="s">
        <v>205</v>
      </c>
      <c r="G23" t="s">
        <v>77</v>
      </c>
      <c r="H23" s="3" t="str">
        <f>IF(ISERROR(DATEVALUE(MID(D23, FIND(" ", D23)+1, FIND(",", D23)-FIND(" ", D23)-1) &amp; "-" &amp; LEFT(D23, FIND(" ", D23)-1) &amp; "-" &amp; RIGHT(D23, 4))), "20260101", TEXT(DATEVALUE(MID(D23, FIND(" ", D23)+1, FIND(",", D23)-FIND(" ", D23)-1) &amp; "-" &amp; LEFT(D23, FIND(" ", D23)-1) &amp; "-" &amp; RIGHT(D23, 4)), "YYYYMMDD"))</f>
        <v>20250110</v>
      </c>
      <c r="I23" t="s">
        <v>209</v>
      </c>
    </row>
    <row r="24" spans="1:9" x14ac:dyDescent="0.2">
      <c r="A24" t="s">
        <v>28</v>
      </c>
      <c r="B24" t="s">
        <v>29</v>
      </c>
      <c r="C24" t="s">
        <v>74</v>
      </c>
      <c r="D24" s="6" t="s">
        <v>75</v>
      </c>
      <c r="E24" s="6" t="s">
        <v>76</v>
      </c>
      <c r="F24" t="s">
        <v>84</v>
      </c>
      <c r="G24" t="s">
        <v>77</v>
      </c>
      <c r="H24" s="3" t="str">
        <f>IF(ISERROR(DATEVALUE(MID(D24, FIND(" ", D24)+1, FIND(",", D24)-FIND(" ", D24)-1) &amp; "-" &amp; LEFT(D24, FIND(" ", D24)-1) &amp; "-" &amp; RIGHT(D24, 4))), "20260101", TEXT(DATEVALUE(MID(D24, FIND(" ", D24)+1, FIND(",", D24)-FIND(" ", D24)-1) &amp; "-" &amp; LEFT(D24, FIND(" ", D24)-1) &amp; "-" &amp; RIGHT(D24, 4)), "YYYYMMDD"))</f>
        <v>20250115</v>
      </c>
      <c r="I24" t="s">
        <v>212</v>
      </c>
    </row>
    <row r="25" spans="1:9" x14ac:dyDescent="0.2">
      <c r="A25" t="s">
        <v>42</v>
      </c>
      <c r="B25" t="s">
        <v>43</v>
      </c>
      <c r="C25" t="s">
        <v>103</v>
      </c>
      <c r="D25" s="6" t="s">
        <v>75</v>
      </c>
      <c r="E25" s="6" t="s">
        <v>104</v>
      </c>
      <c r="F25" t="s">
        <v>111</v>
      </c>
      <c r="G25" t="s">
        <v>105</v>
      </c>
      <c r="H25" s="3" t="str">
        <f>IF(ISERROR(DATEVALUE(MID(D25, FIND(" ", D25)+1, FIND(",", D25)-FIND(" ", D25)-1) &amp; "-" &amp; LEFT(D25, FIND(" ", D25)-1) &amp; "-" &amp; RIGHT(D25, 4))), "20260101", TEXT(DATEVALUE(MID(D25, FIND(" ", D25)+1, FIND(",", D25)-FIND(" ", D25)-1) &amp; "-" &amp; LEFT(D25, FIND(" ", D25)-1) &amp; "-" &amp; RIGHT(D25, 4)), "YYYYMMDD"))</f>
        <v>20250115</v>
      </c>
      <c r="I25" t="s">
        <v>212</v>
      </c>
    </row>
    <row r="26" spans="1:9" x14ac:dyDescent="0.2">
      <c r="A26" t="s">
        <v>38</v>
      </c>
      <c r="B26" t="s">
        <v>39</v>
      </c>
      <c r="C26" t="s">
        <v>94</v>
      </c>
      <c r="D26" s="6" t="s">
        <v>95</v>
      </c>
      <c r="E26" s="6" t="s">
        <v>96</v>
      </c>
      <c r="F26" t="s">
        <v>100</v>
      </c>
      <c r="G26" t="s">
        <v>97</v>
      </c>
      <c r="H26" s="3" t="str">
        <f t="shared" ref="H26:H89" si="0">IF(ISERROR(DATEVALUE(MID(D26, FIND(" ", D26)+1, FIND(",", D26)-FIND(" ", D26)-1) &amp; "-" &amp; LEFT(D26, FIND(" ", D26)-1) &amp; "-" &amp; RIGHT(D26, 4))), "20260101", TEXT(DATEVALUE(MID(D26, FIND(" ", D26)+1, FIND(",", D26)-FIND(" ", D26)-1) &amp; "-" &amp; LEFT(D26, FIND(" ", D26)-1) &amp; "-" &amp; RIGHT(D26, 4)), "YYYYMMDD"))</f>
        <v>20250117</v>
      </c>
      <c r="I26" t="s">
        <v>212</v>
      </c>
    </row>
    <row r="27" spans="1:9" x14ac:dyDescent="0.2">
      <c r="A27" t="s">
        <v>30</v>
      </c>
      <c r="B27" t="s">
        <v>31</v>
      </c>
      <c r="C27" t="s">
        <v>78</v>
      </c>
      <c r="D27" s="6" t="s">
        <v>79</v>
      </c>
      <c r="E27" s="6" t="s">
        <v>80</v>
      </c>
      <c r="F27" t="s">
        <v>85</v>
      </c>
      <c r="G27" t="s">
        <v>81</v>
      </c>
      <c r="H27" s="3" t="str">
        <f t="shared" si="0"/>
        <v>20250120</v>
      </c>
      <c r="I27" t="s">
        <v>209</v>
      </c>
    </row>
    <row r="28" spans="1:9" x14ac:dyDescent="0.2">
      <c r="A28" t="s">
        <v>34</v>
      </c>
      <c r="B28" t="s">
        <v>35</v>
      </c>
      <c r="C28" t="s">
        <v>90</v>
      </c>
      <c r="D28" s="6" t="s">
        <v>91</v>
      </c>
      <c r="E28" s="6" t="s">
        <v>87</v>
      </c>
      <c r="F28" t="s">
        <v>99</v>
      </c>
      <c r="G28" t="s">
        <v>92</v>
      </c>
      <c r="H28" s="3" t="str">
        <f t="shared" si="0"/>
        <v>20250215</v>
      </c>
      <c r="I28" t="s">
        <v>212</v>
      </c>
    </row>
    <row r="29" spans="1:9" x14ac:dyDescent="0.2">
      <c r="A29" t="s">
        <v>32</v>
      </c>
      <c r="B29" t="s">
        <v>33</v>
      </c>
      <c r="C29" t="s">
        <v>86</v>
      </c>
      <c r="D29" s="6" t="s">
        <v>87</v>
      </c>
      <c r="E29" s="6" t="s">
        <v>88</v>
      </c>
      <c r="F29" t="s">
        <v>98</v>
      </c>
      <c r="G29" t="s">
        <v>89</v>
      </c>
      <c r="H29" s="3" t="str">
        <f t="shared" si="0"/>
        <v>20250301</v>
      </c>
      <c r="I29" t="s">
        <v>212</v>
      </c>
    </row>
    <row r="30" spans="1:9" x14ac:dyDescent="0.2">
      <c r="A30" t="s">
        <v>113</v>
      </c>
      <c r="B30" s="2" t="s">
        <v>114</v>
      </c>
      <c r="C30" t="s">
        <v>115</v>
      </c>
      <c r="D30" s="6" t="s">
        <v>87</v>
      </c>
      <c r="E30" s="6" t="s">
        <v>88</v>
      </c>
      <c r="F30" t="s">
        <v>185</v>
      </c>
      <c r="G30" t="s">
        <v>116</v>
      </c>
      <c r="H30" s="3" t="str">
        <f t="shared" si="0"/>
        <v>20250301</v>
      </c>
      <c r="I30" t="s">
        <v>209</v>
      </c>
    </row>
    <row r="31" spans="1:9" x14ac:dyDescent="0.2">
      <c r="A31" t="s">
        <v>32</v>
      </c>
      <c r="B31" s="2" t="s">
        <v>117</v>
      </c>
      <c r="C31" t="s">
        <v>86</v>
      </c>
      <c r="D31" s="6" t="s">
        <v>87</v>
      </c>
      <c r="E31" s="6" t="s">
        <v>88</v>
      </c>
      <c r="F31" t="s">
        <v>98</v>
      </c>
      <c r="G31" t="s">
        <v>89</v>
      </c>
      <c r="H31" s="3" t="str">
        <f t="shared" si="0"/>
        <v>20250301</v>
      </c>
      <c r="I31" t="s">
        <v>212</v>
      </c>
    </row>
    <row r="32" spans="1:9" x14ac:dyDescent="0.2">
      <c r="A32" t="s">
        <v>44</v>
      </c>
      <c r="B32" t="s">
        <v>45</v>
      </c>
      <c r="C32" t="s">
        <v>106</v>
      </c>
      <c r="D32" s="6" t="s">
        <v>107</v>
      </c>
      <c r="E32" s="6" t="s">
        <v>108</v>
      </c>
      <c r="F32" t="s">
        <v>112</v>
      </c>
      <c r="G32" t="s">
        <v>109</v>
      </c>
      <c r="H32" s="3" t="str">
        <f t="shared" si="0"/>
        <v>20250515</v>
      </c>
      <c r="I32" t="s">
        <v>212</v>
      </c>
    </row>
    <row r="33" spans="1:9" x14ac:dyDescent="0.2">
      <c r="A33" t="s">
        <v>134</v>
      </c>
      <c r="B33" s="2" t="s">
        <v>135</v>
      </c>
      <c r="C33" t="s">
        <v>136</v>
      </c>
      <c r="D33" s="6" t="s">
        <v>198</v>
      </c>
      <c r="E33" s="6" t="s">
        <v>199</v>
      </c>
      <c r="F33" t="s">
        <v>189</v>
      </c>
      <c r="G33" t="s">
        <v>165</v>
      </c>
      <c r="H33" s="3" t="str">
        <f t="shared" si="0"/>
        <v>20250701</v>
      </c>
      <c r="I33" t="s">
        <v>259</v>
      </c>
    </row>
    <row r="34" spans="1:9" x14ac:dyDescent="0.2">
      <c r="A34" t="s">
        <v>206</v>
      </c>
      <c r="B34" t="s">
        <v>207</v>
      </c>
      <c r="C34" t="s">
        <v>208</v>
      </c>
      <c r="D34" s="5">
        <v>45637</v>
      </c>
      <c r="E34" s="5">
        <v>45644</v>
      </c>
      <c r="F34" s="5">
        <v>45858</v>
      </c>
      <c r="G34" t="s">
        <v>260</v>
      </c>
      <c r="H34" s="3" t="str">
        <f t="shared" si="0"/>
        <v>20260101</v>
      </c>
      <c r="I34" s="3" t="s">
        <v>209</v>
      </c>
    </row>
    <row r="35" spans="1:9" x14ac:dyDescent="0.2">
      <c r="A35" t="s">
        <v>210</v>
      </c>
      <c r="B35" t="s">
        <v>211</v>
      </c>
      <c r="C35" t="s">
        <v>71</v>
      </c>
      <c r="D35" s="5">
        <v>45703</v>
      </c>
      <c r="E35" s="5">
        <v>45703</v>
      </c>
      <c r="F35" s="5">
        <v>45865</v>
      </c>
      <c r="G35" t="s">
        <v>261</v>
      </c>
      <c r="H35" s="3" t="str">
        <f t="shared" si="0"/>
        <v>20260101</v>
      </c>
      <c r="I35" s="3" t="s">
        <v>212</v>
      </c>
    </row>
    <row r="36" spans="1:9" x14ac:dyDescent="0.2">
      <c r="A36" t="s">
        <v>213</v>
      </c>
      <c r="B36" t="s">
        <v>214</v>
      </c>
      <c r="C36" t="s">
        <v>215</v>
      </c>
      <c r="D36" s="5">
        <v>45691</v>
      </c>
      <c r="E36" s="5">
        <v>45698</v>
      </c>
      <c r="F36" s="5">
        <v>45872</v>
      </c>
      <c r="G36" t="s">
        <v>262</v>
      </c>
      <c r="H36" s="3" t="str">
        <f t="shared" si="0"/>
        <v>20260101</v>
      </c>
      <c r="I36" s="4" t="s">
        <v>212</v>
      </c>
    </row>
    <row r="37" spans="1:9" x14ac:dyDescent="0.2">
      <c r="A37" t="s">
        <v>216</v>
      </c>
      <c r="B37" t="s">
        <v>217</v>
      </c>
      <c r="C37" t="s">
        <v>106</v>
      </c>
      <c r="D37" s="5">
        <v>45673</v>
      </c>
      <c r="E37" s="5">
        <v>45680</v>
      </c>
      <c r="F37" s="5">
        <v>45879</v>
      </c>
      <c r="G37" t="s">
        <v>263</v>
      </c>
      <c r="H37" s="3" t="str">
        <f t="shared" si="0"/>
        <v>20260101</v>
      </c>
      <c r="I37" s="4" t="s">
        <v>212</v>
      </c>
    </row>
    <row r="38" spans="1:9" x14ac:dyDescent="0.2">
      <c r="A38" t="s">
        <v>218</v>
      </c>
      <c r="B38" t="s">
        <v>219</v>
      </c>
      <c r="C38" t="s">
        <v>220</v>
      </c>
      <c r="D38" s="5">
        <v>45700</v>
      </c>
      <c r="E38" s="5">
        <v>45700</v>
      </c>
      <c r="F38" s="5">
        <v>45886</v>
      </c>
      <c r="G38" t="s">
        <v>264</v>
      </c>
      <c r="H38" s="3" t="str">
        <f t="shared" si="0"/>
        <v>20260101</v>
      </c>
      <c r="I38" s="4" t="s">
        <v>209</v>
      </c>
    </row>
    <row r="39" spans="1:9" x14ac:dyDescent="0.2">
      <c r="A39" t="s">
        <v>221</v>
      </c>
      <c r="B39" t="s">
        <v>222</v>
      </c>
      <c r="C39" t="s">
        <v>223</v>
      </c>
      <c r="D39" s="5">
        <v>45681</v>
      </c>
      <c r="E39" s="5">
        <v>45688</v>
      </c>
      <c r="F39" s="5">
        <v>45908</v>
      </c>
      <c r="G39" t="s">
        <v>265</v>
      </c>
      <c r="H39" s="3" t="str">
        <f t="shared" si="0"/>
        <v>20260101</v>
      </c>
      <c r="I39" s="4" t="s">
        <v>212</v>
      </c>
    </row>
    <row r="40" spans="1:9" x14ac:dyDescent="0.2">
      <c r="A40" t="s">
        <v>224</v>
      </c>
      <c r="B40" t="s">
        <v>225</v>
      </c>
      <c r="C40" t="s">
        <v>226</v>
      </c>
      <c r="D40" s="5">
        <v>45659</v>
      </c>
      <c r="E40" s="5">
        <v>45666</v>
      </c>
      <c r="F40" s="5">
        <v>45943</v>
      </c>
      <c r="G40" t="s">
        <v>266</v>
      </c>
      <c r="H40" s="3" t="str">
        <f t="shared" si="0"/>
        <v>20260101</v>
      </c>
      <c r="I40" s="4" t="s">
        <v>212</v>
      </c>
    </row>
    <row r="41" spans="1:9" x14ac:dyDescent="0.2">
      <c r="A41" t="s">
        <v>227</v>
      </c>
      <c r="B41" t="s">
        <v>228</v>
      </c>
      <c r="C41" t="s">
        <v>229</v>
      </c>
      <c r="D41" s="5">
        <v>45757</v>
      </c>
      <c r="E41" s="5">
        <v>45764</v>
      </c>
      <c r="F41" s="5">
        <v>45943</v>
      </c>
      <c r="G41" t="s">
        <v>267</v>
      </c>
      <c r="H41" s="3" t="str">
        <f t="shared" si="0"/>
        <v>20260101</v>
      </c>
      <c r="I41" s="4" t="s">
        <v>212</v>
      </c>
    </row>
    <row r="42" spans="1:9" x14ac:dyDescent="0.2">
      <c r="A42" t="s">
        <v>230</v>
      </c>
      <c r="B42" t="s">
        <v>231</v>
      </c>
      <c r="C42" t="s">
        <v>232</v>
      </c>
      <c r="D42" s="5">
        <v>45719</v>
      </c>
      <c r="E42" s="5">
        <v>45723</v>
      </c>
      <c r="F42" s="5">
        <v>45949</v>
      </c>
      <c r="G42" t="s">
        <v>268</v>
      </c>
      <c r="H42" s="3" t="str">
        <f t="shared" si="0"/>
        <v>20260101</v>
      </c>
      <c r="I42" s="4" t="s">
        <v>212</v>
      </c>
    </row>
    <row r="43" spans="1:9" x14ac:dyDescent="0.2">
      <c r="A43" t="s">
        <v>233</v>
      </c>
      <c r="B43" t="s">
        <v>257</v>
      </c>
      <c r="C43" t="s">
        <v>115</v>
      </c>
      <c r="D43" s="5">
        <v>45717</v>
      </c>
      <c r="E43" s="5">
        <v>45717</v>
      </c>
      <c r="F43" s="5">
        <v>45949</v>
      </c>
      <c r="G43" t="s">
        <v>269</v>
      </c>
      <c r="H43" s="3" t="str">
        <f t="shared" si="0"/>
        <v>20260101</v>
      </c>
      <c r="I43" s="4" t="s">
        <v>209</v>
      </c>
    </row>
    <row r="44" spans="1:9" x14ac:dyDescent="0.2">
      <c r="A44" t="s">
        <v>234</v>
      </c>
      <c r="B44" t="s">
        <v>235</v>
      </c>
      <c r="C44" t="s">
        <v>236</v>
      </c>
      <c r="D44" s="5">
        <v>45751</v>
      </c>
      <c r="E44" s="5">
        <v>45758</v>
      </c>
      <c r="F44" s="5">
        <v>45957</v>
      </c>
      <c r="G44" t="s">
        <v>270</v>
      </c>
      <c r="H44" s="3" t="str">
        <f t="shared" si="0"/>
        <v>20260101</v>
      </c>
      <c r="I44" s="4" t="s">
        <v>212</v>
      </c>
    </row>
    <row r="45" spans="1:9" x14ac:dyDescent="0.2">
      <c r="A45" t="s">
        <v>237</v>
      </c>
      <c r="B45" t="s">
        <v>238</v>
      </c>
      <c r="C45" t="s">
        <v>71</v>
      </c>
      <c r="D45" s="5">
        <v>45737</v>
      </c>
      <c r="E45" s="5">
        <v>45747</v>
      </c>
      <c r="F45" s="5">
        <v>45963</v>
      </c>
      <c r="G45" t="s">
        <v>271</v>
      </c>
      <c r="H45" s="3" t="str">
        <f t="shared" si="0"/>
        <v>20260101</v>
      </c>
      <c r="I45" s="4" t="s">
        <v>209</v>
      </c>
    </row>
    <row r="46" spans="1:9" x14ac:dyDescent="0.2">
      <c r="A46" t="s">
        <v>239</v>
      </c>
      <c r="B46" t="s">
        <v>240</v>
      </c>
      <c r="C46" t="s">
        <v>241</v>
      </c>
      <c r="D46" s="5">
        <v>45796</v>
      </c>
      <c r="E46" s="5">
        <v>45796</v>
      </c>
      <c r="F46" s="5">
        <v>45966</v>
      </c>
      <c r="G46" t="s">
        <v>261</v>
      </c>
      <c r="H46" s="3" t="str">
        <f t="shared" si="0"/>
        <v>20260101</v>
      </c>
      <c r="I46" s="4" t="s">
        <v>209</v>
      </c>
    </row>
    <row r="47" spans="1:9" x14ac:dyDescent="0.2">
      <c r="A47" t="s">
        <v>242</v>
      </c>
      <c r="B47" t="s">
        <v>243</v>
      </c>
      <c r="C47" t="s">
        <v>244</v>
      </c>
      <c r="D47" s="5">
        <v>45814</v>
      </c>
      <c r="E47" s="5">
        <v>45814</v>
      </c>
      <c r="F47" s="5">
        <v>45973</v>
      </c>
      <c r="G47" t="s">
        <v>272</v>
      </c>
      <c r="H47" s="3" t="str">
        <f t="shared" si="0"/>
        <v>20260101</v>
      </c>
      <c r="I47" s="4" t="s">
        <v>209</v>
      </c>
    </row>
    <row r="48" spans="1:9" x14ac:dyDescent="0.2">
      <c r="A48" t="s">
        <v>245</v>
      </c>
      <c r="B48" t="s">
        <v>246</v>
      </c>
      <c r="C48" t="s">
        <v>247</v>
      </c>
      <c r="D48" s="5">
        <v>45754</v>
      </c>
      <c r="E48" s="5">
        <v>45761</v>
      </c>
      <c r="F48" s="5">
        <v>45977</v>
      </c>
      <c r="G48" t="s">
        <v>273</v>
      </c>
      <c r="H48" s="3" t="str">
        <f t="shared" si="0"/>
        <v>20260101</v>
      </c>
      <c r="I48" s="4" t="s">
        <v>209</v>
      </c>
    </row>
    <row r="49" spans="1:9" x14ac:dyDescent="0.2">
      <c r="A49" t="s">
        <v>248</v>
      </c>
      <c r="B49" t="s">
        <v>249</v>
      </c>
      <c r="C49" t="s">
        <v>250</v>
      </c>
      <c r="D49" s="5">
        <v>45806</v>
      </c>
      <c r="E49" s="5">
        <v>45813</v>
      </c>
      <c r="F49" s="5">
        <v>45992</v>
      </c>
      <c r="G49" t="s">
        <v>265</v>
      </c>
      <c r="H49" s="3" t="str">
        <f t="shared" si="0"/>
        <v>20260101</v>
      </c>
      <c r="I49" s="4" t="s">
        <v>209</v>
      </c>
    </row>
    <row r="50" spans="1:9" x14ac:dyDescent="0.2">
      <c r="A50" t="s">
        <v>251</v>
      </c>
      <c r="B50" t="s">
        <v>252</v>
      </c>
      <c r="C50" t="s">
        <v>253</v>
      </c>
      <c r="D50" s="5">
        <v>45788</v>
      </c>
      <c r="E50" s="5">
        <v>45792</v>
      </c>
      <c r="F50" s="5">
        <v>45993</v>
      </c>
      <c r="G50" t="s">
        <v>274</v>
      </c>
      <c r="H50" s="3" t="str">
        <f t="shared" si="0"/>
        <v>20260101</v>
      </c>
      <c r="I50" s="4" t="s">
        <v>212</v>
      </c>
    </row>
    <row r="51" spans="1:9" x14ac:dyDescent="0.2">
      <c r="A51" t="s">
        <v>254</v>
      </c>
      <c r="B51" t="s">
        <v>255</v>
      </c>
      <c r="C51" t="s">
        <v>256</v>
      </c>
      <c r="D51" s="5">
        <v>45900</v>
      </c>
      <c r="E51" s="5">
        <v>45900</v>
      </c>
      <c r="F51" s="5">
        <v>45999</v>
      </c>
      <c r="G51" t="s">
        <v>275</v>
      </c>
      <c r="H51" s="3" t="str">
        <f t="shared" si="0"/>
        <v>20260101</v>
      </c>
      <c r="I51" s="4" t="s">
        <v>209</v>
      </c>
    </row>
    <row r="52" spans="1:9" x14ac:dyDescent="0.2">
      <c r="A52" t="s">
        <v>277</v>
      </c>
      <c r="B52" t="s">
        <v>278</v>
      </c>
      <c r="C52" t="s">
        <v>279</v>
      </c>
      <c r="D52" s="5">
        <v>45872</v>
      </c>
      <c r="E52" s="5">
        <v>45872</v>
      </c>
      <c r="F52" s="5">
        <v>46006</v>
      </c>
      <c r="G52" t="s">
        <v>280</v>
      </c>
      <c r="H52" s="3" t="str">
        <f t="shared" si="0"/>
        <v>20260101</v>
      </c>
      <c r="I52" s="4" t="s">
        <v>259</v>
      </c>
    </row>
    <row r="53" spans="1:9" x14ac:dyDescent="0.2">
      <c r="A53" t="s">
        <v>281</v>
      </c>
      <c r="B53" t="s">
        <v>282</v>
      </c>
      <c r="C53" t="s">
        <v>283</v>
      </c>
      <c r="D53" s="5">
        <v>45572</v>
      </c>
      <c r="E53" s="5">
        <v>45579</v>
      </c>
      <c r="F53" s="5">
        <v>45775</v>
      </c>
      <c r="G53" t="s">
        <v>284</v>
      </c>
      <c r="H53" s="3" t="str">
        <f t="shared" si="0"/>
        <v>20260101</v>
      </c>
      <c r="I53" t="s">
        <v>212</v>
      </c>
    </row>
    <row r="54" spans="1:9" x14ac:dyDescent="0.2">
      <c r="A54" t="s">
        <v>285</v>
      </c>
      <c r="B54" t="s">
        <v>286</v>
      </c>
      <c r="C54" t="s">
        <v>90</v>
      </c>
      <c r="D54" s="5">
        <v>45863</v>
      </c>
      <c r="E54" s="5">
        <v>45870</v>
      </c>
      <c r="F54" s="5">
        <v>46042</v>
      </c>
      <c r="G54" t="s">
        <v>287</v>
      </c>
      <c r="H54" s="3" t="str">
        <f t="shared" si="0"/>
        <v>20260101</v>
      </c>
      <c r="I54" t="s">
        <v>212</v>
      </c>
    </row>
    <row r="55" spans="1:9" x14ac:dyDescent="0.2">
      <c r="A55" t="s">
        <v>288</v>
      </c>
      <c r="B55" t="s">
        <v>289</v>
      </c>
      <c r="C55" t="s">
        <v>290</v>
      </c>
      <c r="D55" s="5">
        <v>45574</v>
      </c>
      <c r="E55" s="5">
        <v>45581</v>
      </c>
      <c r="F55" s="5">
        <v>45796</v>
      </c>
      <c r="G55" t="s">
        <v>291</v>
      </c>
      <c r="H55" s="3" t="str">
        <f t="shared" si="0"/>
        <v>20260101</v>
      </c>
      <c r="I55" t="s">
        <v>212</v>
      </c>
    </row>
    <row r="56" spans="1:9" x14ac:dyDescent="0.2">
      <c r="A56" t="s">
        <v>292</v>
      </c>
      <c r="B56" t="s">
        <v>211</v>
      </c>
      <c r="C56" t="s">
        <v>71</v>
      </c>
      <c r="D56" s="5">
        <v>45703</v>
      </c>
      <c r="E56" s="5">
        <v>45703</v>
      </c>
      <c r="F56" s="5">
        <v>45865</v>
      </c>
      <c r="G56" t="s">
        <v>293</v>
      </c>
      <c r="H56" s="3" t="str">
        <f t="shared" si="0"/>
        <v>20260101</v>
      </c>
      <c r="I56" t="s">
        <v>212</v>
      </c>
    </row>
    <row r="57" spans="1:9" x14ac:dyDescent="0.2">
      <c r="A57" t="s">
        <v>294</v>
      </c>
      <c r="B57" t="s">
        <v>235</v>
      </c>
      <c r="C57" t="s">
        <v>236</v>
      </c>
      <c r="D57" s="5">
        <v>45751</v>
      </c>
      <c r="E57" s="5">
        <v>45758</v>
      </c>
      <c r="F57" s="5">
        <v>45957</v>
      </c>
      <c r="G57" t="s">
        <v>295</v>
      </c>
      <c r="H57" s="3" t="str">
        <f t="shared" si="0"/>
        <v>20260101</v>
      </c>
      <c r="I57" t="s">
        <v>212</v>
      </c>
    </row>
    <row r="58" spans="1:9" x14ac:dyDescent="0.2">
      <c r="A58" t="s">
        <v>296</v>
      </c>
      <c r="B58" t="s">
        <v>297</v>
      </c>
      <c r="C58" t="s">
        <v>298</v>
      </c>
      <c r="D58" s="5">
        <v>45576</v>
      </c>
      <c r="E58" s="5">
        <v>45583</v>
      </c>
      <c r="F58" s="5">
        <v>45746</v>
      </c>
      <c r="G58" t="s">
        <v>299</v>
      </c>
      <c r="H58" s="3" t="str">
        <f t="shared" si="0"/>
        <v>20260101</v>
      </c>
      <c r="I58" t="s">
        <v>212</v>
      </c>
    </row>
    <row r="59" spans="1:9" x14ac:dyDescent="0.2">
      <c r="A59" t="s">
        <v>300</v>
      </c>
      <c r="B59" t="s">
        <v>301</v>
      </c>
      <c r="C59" t="s">
        <v>302</v>
      </c>
      <c r="D59" s="5">
        <v>45688</v>
      </c>
      <c r="E59" s="5">
        <v>45688</v>
      </c>
      <c r="F59" s="5">
        <v>45861</v>
      </c>
      <c r="G59" t="s">
        <v>303</v>
      </c>
      <c r="H59" s="3" t="str">
        <f t="shared" si="0"/>
        <v>20260101</v>
      </c>
      <c r="I59" t="s">
        <v>212</v>
      </c>
    </row>
    <row r="60" spans="1:9" x14ac:dyDescent="0.2">
      <c r="A60" t="s">
        <v>304</v>
      </c>
      <c r="B60" t="s">
        <v>225</v>
      </c>
      <c r="C60" t="s">
        <v>226</v>
      </c>
      <c r="D60" s="5">
        <v>45659</v>
      </c>
      <c r="E60" s="5">
        <v>45666</v>
      </c>
      <c r="F60" s="5">
        <v>45943</v>
      </c>
      <c r="G60" t="s">
        <v>305</v>
      </c>
      <c r="H60" s="3" t="str">
        <f t="shared" si="0"/>
        <v>20260101</v>
      </c>
      <c r="I60" t="s">
        <v>212</v>
      </c>
    </row>
    <row r="61" spans="1:9" x14ac:dyDescent="0.2">
      <c r="A61" t="s">
        <v>306</v>
      </c>
      <c r="B61" t="s">
        <v>307</v>
      </c>
      <c r="C61" t="s">
        <v>74</v>
      </c>
      <c r="D61" s="5">
        <v>45540</v>
      </c>
      <c r="E61" s="5">
        <v>45547</v>
      </c>
      <c r="F61" s="5">
        <v>45773</v>
      </c>
      <c r="G61" t="s">
        <v>308</v>
      </c>
      <c r="H61" s="3" t="str">
        <f t="shared" si="0"/>
        <v>20260101</v>
      </c>
      <c r="I61" t="s">
        <v>212</v>
      </c>
    </row>
    <row r="62" spans="1:9" x14ac:dyDescent="0.2">
      <c r="A62" t="s">
        <v>309</v>
      </c>
      <c r="B62" t="s">
        <v>310</v>
      </c>
      <c r="C62" t="s">
        <v>311</v>
      </c>
      <c r="D62" s="5">
        <v>45694</v>
      </c>
      <c r="E62" s="5">
        <v>45694</v>
      </c>
      <c r="F62" s="5">
        <v>45838</v>
      </c>
      <c r="G62" t="s">
        <v>312</v>
      </c>
      <c r="H62" s="3" t="str">
        <f t="shared" si="0"/>
        <v>20260101</v>
      </c>
      <c r="I62" t="s">
        <v>212</v>
      </c>
    </row>
    <row r="63" spans="1:9" x14ac:dyDescent="0.2">
      <c r="A63" t="s">
        <v>313</v>
      </c>
      <c r="B63" t="s">
        <v>314</v>
      </c>
      <c r="C63" t="s">
        <v>315</v>
      </c>
      <c r="D63" s="5">
        <v>45701</v>
      </c>
      <c r="E63" s="5">
        <v>45701</v>
      </c>
      <c r="F63" s="5">
        <v>45886</v>
      </c>
      <c r="G63" t="s">
        <v>316</v>
      </c>
      <c r="H63" s="3" t="str">
        <f t="shared" si="0"/>
        <v>20260101</v>
      </c>
      <c r="I63" t="s">
        <v>212</v>
      </c>
    </row>
    <row r="64" spans="1:9" x14ac:dyDescent="0.2">
      <c r="A64" t="s">
        <v>317</v>
      </c>
      <c r="B64" t="s">
        <v>318</v>
      </c>
      <c r="C64" t="s">
        <v>319</v>
      </c>
      <c r="D64" s="5">
        <v>45623</v>
      </c>
      <c r="E64" s="5">
        <v>45623</v>
      </c>
      <c r="F64" s="5">
        <v>45818</v>
      </c>
      <c r="G64" t="s">
        <v>320</v>
      </c>
      <c r="H64" s="3" t="str">
        <f t="shared" si="0"/>
        <v>20260101</v>
      </c>
      <c r="I64" t="s">
        <v>212</v>
      </c>
    </row>
    <row r="65" spans="1:9" x14ac:dyDescent="0.2">
      <c r="A65" t="s">
        <v>321</v>
      </c>
      <c r="B65" t="s">
        <v>322</v>
      </c>
      <c r="C65" t="s">
        <v>323</v>
      </c>
      <c r="D65" s="5">
        <v>45569</v>
      </c>
      <c r="E65" s="5">
        <v>45569</v>
      </c>
      <c r="F65" s="5">
        <v>45735</v>
      </c>
      <c r="G65" t="s">
        <v>324</v>
      </c>
      <c r="H65" s="3" t="str">
        <f t="shared" si="0"/>
        <v>20260101</v>
      </c>
      <c r="I65" t="s">
        <v>212</v>
      </c>
    </row>
    <row r="66" spans="1:9" x14ac:dyDescent="0.2">
      <c r="A66" t="s">
        <v>325</v>
      </c>
      <c r="B66" t="s">
        <v>326</v>
      </c>
      <c r="C66" t="s">
        <v>327</v>
      </c>
      <c r="D66" s="5">
        <v>45623</v>
      </c>
      <c r="E66" s="5">
        <v>45630</v>
      </c>
      <c r="F66" s="5">
        <v>45831</v>
      </c>
      <c r="G66" t="s">
        <v>328</v>
      </c>
      <c r="H66" s="3" t="str">
        <f t="shared" si="0"/>
        <v>20260101</v>
      </c>
      <c r="I66" t="s">
        <v>212</v>
      </c>
    </row>
    <row r="67" spans="1:9" x14ac:dyDescent="0.2">
      <c r="A67" t="s">
        <v>329</v>
      </c>
      <c r="B67" t="s">
        <v>330</v>
      </c>
      <c r="C67" t="s">
        <v>331</v>
      </c>
      <c r="D67" s="5">
        <v>45567</v>
      </c>
      <c r="E67" s="5">
        <v>45567</v>
      </c>
      <c r="F67" s="5">
        <v>45781</v>
      </c>
      <c r="G67" t="s">
        <v>332</v>
      </c>
      <c r="H67" s="3" t="str">
        <f t="shared" si="0"/>
        <v>20260101</v>
      </c>
      <c r="I67" t="s">
        <v>212</v>
      </c>
    </row>
    <row r="68" spans="1:9" x14ac:dyDescent="0.2">
      <c r="A68" t="s">
        <v>333</v>
      </c>
      <c r="B68" t="s">
        <v>334</v>
      </c>
      <c r="C68" t="s">
        <v>283</v>
      </c>
      <c r="D68" s="5">
        <v>45750</v>
      </c>
      <c r="E68" s="5">
        <v>45750</v>
      </c>
      <c r="F68" s="5">
        <v>46005</v>
      </c>
      <c r="G68" t="s">
        <v>335</v>
      </c>
      <c r="H68" s="3" t="str">
        <f t="shared" si="0"/>
        <v>20260101</v>
      </c>
      <c r="I68" t="s">
        <v>212</v>
      </c>
    </row>
    <row r="69" spans="1:9" x14ac:dyDescent="0.2">
      <c r="A69" t="s">
        <v>336</v>
      </c>
      <c r="B69" t="s">
        <v>337</v>
      </c>
      <c r="C69" t="s">
        <v>338</v>
      </c>
      <c r="D69" s="5">
        <v>45782</v>
      </c>
      <c r="E69" s="5">
        <v>45782</v>
      </c>
      <c r="F69" s="5">
        <v>45896</v>
      </c>
      <c r="G69" t="s">
        <v>339</v>
      </c>
      <c r="H69" s="3" t="str">
        <f t="shared" si="0"/>
        <v>20260101</v>
      </c>
      <c r="I69" t="s">
        <v>212</v>
      </c>
    </row>
    <row r="70" spans="1:9" x14ac:dyDescent="0.2">
      <c r="A70" t="s">
        <v>340</v>
      </c>
      <c r="B70" t="s">
        <v>341</v>
      </c>
      <c r="C70" t="s">
        <v>342</v>
      </c>
      <c r="D70" s="5">
        <v>45499</v>
      </c>
      <c r="E70" s="5">
        <v>45506</v>
      </c>
      <c r="F70" s="5">
        <v>45717</v>
      </c>
      <c r="G70" t="s">
        <v>343</v>
      </c>
      <c r="H70" s="3" t="str">
        <f t="shared" si="0"/>
        <v>20260101</v>
      </c>
      <c r="I70" t="s">
        <v>212</v>
      </c>
    </row>
    <row r="71" spans="1:9" x14ac:dyDescent="0.2">
      <c r="A71" t="s">
        <v>344</v>
      </c>
      <c r="B71" t="s">
        <v>345</v>
      </c>
      <c r="C71" t="s">
        <v>346</v>
      </c>
      <c r="D71" s="5">
        <v>45667</v>
      </c>
      <c r="E71" s="5">
        <v>45667</v>
      </c>
      <c r="F71" s="5">
        <v>45784</v>
      </c>
      <c r="G71" t="s">
        <v>347</v>
      </c>
      <c r="H71" s="3" t="str">
        <f t="shared" si="0"/>
        <v>20260101</v>
      </c>
      <c r="I71" t="s">
        <v>212</v>
      </c>
    </row>
    <row r="72" spans="1:9" x14ac:dyDescent="0.2">
      <c r="A72" t="s">
        <v>348</v>
      </c>
      <c r="B72" t="s">
        <v>231</v>
      </c>
      <c r="C72" t="s">
        <v>232</v>
      </c>
      <c r="D72" s="5">
        <v>45720</v>
      </c>
      <c r="E72" s="5">
        <v>45723</v>
      </c>
      <c r="F72" s="5">
        <v>45949</v>
      </c>
      <c r="G72" t="s">
        <v>349</v>
      </c>
      <c r="H72" s="3" t="str">
        <f t="shared" si="0"/>
        <v>20260101</v>
      </c>
      <c r="I72" t="s">
        <v>212</v>
      </c>
    </row>
    <row r="73" spans="1:9" x14ac:dyDescent="0.2">
      <c r="A73" t="s">
        <v>350</v>
      </c>
      <c r="B73" t="s">
        <v>351</v>
      </c>
      <c r="C73" t="s">
        <v>352</v>
      </c>
      <c r="D73" s="5">
        <v>45621</v>
      </c>
      <c r="E73" s="5">
        <v>45621</v>
      </c>
      <c r="F73" s="5">
        <v>45796</v>
      </c>
      <c r="G73" t="s">
        <v>353</v>
      </c>
      <c r="H73" s="3" t="str">
        <f t="shared" si="0"/>
        <v>20260101</v>
      </c>
      <c r="I73" t="s">
        <v>212</v>
      </c>
    </row>
    <row r="74" spans="1:9" x14ac:dyDescent="0.2">
      <c r="A74" t="s">
        <v>354</v>
      </c>
      <c r="B74" t="s">
        <v>243</v>
      </c>
      <c r="C74" t="s">
        <v>244</v>
      </c>
      <c r="D74" s="5">
        <v>45814</v>
      </c>
      <c r="E74" s="5">
        <v>45814</v>
      </c>
      <c r="F74" s="5">
        <v>45973</v>
      </c>
      <c r="G74" t="s">
        <v>355</v>
      </c>
      <c r="H74" s="3" t="str">
        <f t="shared" si="0"/>
        <v>20260101</v>
      </c>
      <c r="I74" t="s">
        <v>212</v>
      </c>
    </row>
    <row r="75" spans="1:9" x14ac:dyDescent="0.2">
      <c r="A75" t="s">
        <v>356</v>
      </c>
      <c r="B75" t="s">
        <v>357</v>
      </c>
      <c r="C75" t="s">
        <v>90</v>
      </c>
      <c r="D75" s="5">
        <v>45715</v>
      </c>
      <c r="E75" s="5">
        <v>45715</v>
      </c>
      <c r="F75" s="5">
        <v>45942</v>
      </c>
      <c r="G75" t="s">
        <v>358</v>
      </c>
      <c r="H75" s="3" t="str">
        <f t="shared" si="0"/>
        <v>20260101</v>
      </c>
      <c r="I75" t="s">
        <v>212</v>
      </c>
    </row>
    <row r="76" spans="1:9" x14ac:dyDescent="0.2">
      <c r="A76" t="s">
        <v>359</v>
      </c>
      <c r="B76" t="s">
        <v>360</v>
      </c>
      <c r="C76" t="s">
        <v>361</v>
      </c>
      <c r="D76" s="5">
        <v>45778</v>
      </c>
      <c r="E76" s="5">
        <v>45778</v>
      </c>
      <c r="F76" s="5">
        <v>46005</v>
      </c>
      <c r="G76" t="s">
        <v>362</v>
      </c>
      <c r="H76" s="3" t="str">
        <f t="shared" si="0"/>
        <v>20260101</v>
      </c>
      <c r="I76" t="s">
        <v>212</v>
      </c>
    </row>
    <row r="77" spans="1:9" x14ac:dyDescent="0.2">
      <c r="A77" t="s">
        <v>363</v>
      </c>
      <c r="B77" t="s">
        <v>364</v>
      </c>
      <c r="C77" t="s">
        <v>106</v>
      </c>
      <c r="D77" s="5">
        <v>45680</v>
      </c>
      <c r="E77" s="5">
        <v>45687</v>
      </c>
      <c r="F77" s="5">
        <v>45851</v>
      </c>
      <c r="G77" t="s">
        <v>365</v>
      </c>
      <c r="H77" s="3" t="str">
        <f t="shared" si="0"/>
        <v>20260101</v>
      </c>
      <c r="I77" t="s">
        <v>212</v>
      </c>
    </row>
    <row r="78" spans="1:9" x14ac:dyDescent="0.2">
      <c r="A78" t="s">
        <v>366</v>
      </c>
      <c r="B78" t="s">
        <v>367</v>
      </c>
      <c r="C78" t="s">
        <v>368</v>
      </c>
      <c r="D78" s="5">
        <v>45366</v>
      </c>
      <c r="E78" s="5">
        <v>45373</v>
      </c>
      <c r="F78" s="5">
        <v>45773</v>
      </c>
      <c r="G78" t="s">
        <v>369</v>
      </c>
      <c r="H78" s="3" t="str">
        <f t="shared" si="0"/>
        <v>20260101</v>
      </c>
      <c r="I78" t="s">
        <v>212</v>
      </c>
    </row>
    <row r="79" spans="1:9" x14ac:dyDescent="0.2">
      <c r="A79" t="s">
        <v>370</v>
      </c>
      <c r="B79" t="s">
        <v>371</v>
      </c>
      <c r="C79" t="s">
        <v>372</v>
      </c>
      <c r="D79" s="5">
        <v>45673</v>
      </c>
      <c r="E79" s="5">
        <v>45680</v>
      </c>
      <c r="F79" s="5">
        <v>45885</v>
      </c>
      <c r="G79" t="s">
        <v>287</v>
      </c>
      <c r="H79" s="3" t="str">
        <f t="shared" si="0"/>
        <v>20260101</v>
      </c>
      <c r="I79" t="s">
        <v>212</v>
      </c>
    </row>
    <row r="80" spans="1:9" x14ac:dyDescent="0.2">
      <c r="A80" t="s">
        <v>373</v>
      </c>
      <c r="B80" t="s">
        <v>374</v>
      </c>
      <c r="C80" t="s">
        <v>375</v>
      </c>
      <c r="D80" s="5">
        <v>45786</v>
      </c>
      <c r="E80" s="5">
        <v>45791</v>
      </c>
      <c r="F80" s="5">
        <v>45927</v>
      </c>
      <c r="G80" t="s">
        <v>376</v>
      </c>
      <c r="H80" s="3" t="str">
        <f t="shared" si="0"/>
        <v>20260101</v>
      </c>
      <c r="I80" t="s">
        <v>212</v>
      </c>
    </row>
    <row r="81" spans="1:9" x14ac:dyDescent="0.2">
      <c r="A81" t="s">
        <v>377</v>
      </c>
      <c r="B81" t="s">
        <v>378</v>
      </c>
      <c r="C81" t="s">
        <v>379</v>
      </c>
      <c r="D81" s="5">
        <v>45658</v>
      </c>
      <c r="E81" s="5">
        <v>45659</v>
      </c>
      <c r="F81" s="5">
        <v>45829</v>
      </c>
      <c r="G81" t="s">
        <v>380</v>
      </c>
      <c r="H81" s="3" t="str">
        <f t="shared" si="0"/>
        <v>20260101</v>
      </c>
      <c r="I81" t="s">
        <v>212</v>
      </c>
    </row>
    <row r="82" spans="1:9" x14ac:dyDescent="0.2">
      <c r="A82" t="s">
        <v>381</v>
      </c>
      <c r="B82" t="s">
        <v>382</v>
      </c>
      <c r="C82" t="s">
        <v>383</v>
      </c>
      <c r="D82" s="5">
        <v>45751</v>
      </c>
      <c r="E82" s="5">
        <v>45758</v>
      </c>
      <c r="F82" s="5">
        <v>45938</v>
      </c>
      <c r="G82" t="s">
        <v>384</v>
      </c>
      <c r="H82" s="3" t="str">
        <f t="shared" si="0"/>
        <v>20260101</v>
      </c>
      <c r="I82" t="s">
        <v>212</v>
      </c>
    </row>
    <row r="83" spans="1:9" x14ac:dyDescent="0.2">
      <c r="A83" t="s">
        <v>385</v>
      </c>
      <c r="B83" t="s">
        <v>386</v>
      </c>
      <c r="C83" t="s">
        <v>387</v>
      </c>
      <c r="D83" s="5">
        <v>45680</v>
      </c>
      <c r="E83" s="5">
        <v>45687</v>
      </c>
      <c r="F83" s="5">
        <v>45866</v>
      </c>
      <c r="G83" t="s">
        <v>388</v>
      </c>
      <c r="H83" s="3" t="str">
        <f t="shared" si="0"/>
        <v>20260101</v>
      </c>
      <c r="I83" t="s">
        <v>212</v>
      </c>
    </row>
    <row r="84" spans="1:9" x14ac:dyDescent="0.2">
      <c r="A84" t="s">
        <v>389</v>
      </c>
      <c r="B84" t="s">
        <v>390</v>
      </c>
      <c r="C84" t="s">
        <v>391</v>
      </c>
      <c r="D84" s="5">
        <v>45783</v>
      </c>
      <c r="E84" s="5">
        <v>45790</v>
      </c>
      <c r="F84" s="5">
        <v>45963</v>
      </c>
      <c r="G84" t="s">
        <v>392</v>
      </c>
      <c r="H84" s="3" t="str">
        <f t="shared" si="0"/>
        <v>20260101</v>
      </c>
      <c r="I84" t="s">
        <v>212</v>
      </c>
    </row>
    <row r="85" spans="1:9" x14ac:dyDescent="0.2">
      <c r="A85" t="s">
        <v>393</v>
      </c>
      <c r="B85" t="s">
        <v>394</v>
      </c>
      <c r="C85" t="s">
        <v>395</v>
      </c>
      <c r="D85" s="5">
        <v>45784</v>
      </c>
      <c r="E85" s="5">
        <v>45789</v>
      </c>
      <c r="F85" s="5">
        <v>45963</v>
      </c>
      <c r="G85" t="s">
        <v>396</v>
      </c>
      <c r="H85" s="3" t="str">
        <f t="shared" si="0"/>
        <v>20260101</v>
      </c>
      <c r="I85" t="s">
        <v>212</v>
      </c>
    </row>
    <row r="86" spans="1:9" x14ac:dyDescent="0.2">
      <c r="A86" t="s">
        <v>397</v>
      </c>
      <c r="B86" t="s">
        <v>398</v>
      </c>
      <c r="C86" t="s">
        <v>90</v>
      </c>
      <c r="D86" s="5">
        <v>45673</v>
      </c>
      <c r="E86" s="5">
        <v>45680</v>
      </c>
      <c r="F86" s="5">
        <v>45831</v>
      </c>
      <c r="G86" t="s">
        <v>399</v>
      </c>
      <c r="H86" s="3" t="str">
        <f t="shared" si="0"/>
        <v>20260101</v>
      </c>
      <c r="I86" t="s">
        <v>212</v>
      </c>
    </row>
    <row r="87" spans="1:9" x14ac:dyDescent="0.2">
      <c r="A87" t="s">
        <v>400</v>
      </c>
      <c r="B87" t="s">
        <v>252</v>
      </c>
      <c r="C87" t="s">
        <v>401</v>
      </c>
      <c r="D87" s="5">
        <v>45788</v>
      </c>
      <c r="E87" s="5">
        <v>45792</v>
      </c>
      <c r="F87" s="5">
        <v>45993</v>
      </c>
      <c r="G87" t="s">
        <v>402</v>
      </c>
      <c r="H87" s="3" t="str">
        <f t="shared" si="0"/>
        <v>20260101</v>
      </c>
      <c r="I87" t="s">
        <v>212</v>
      </c>
    </row>
    <row r="88" spans="1:9" x14ac:dyDescent="0.2">
      <c r="A88" t="s">
        <v>403</v>
      </c>
      <c r="B88" t="s">
        <v>404</v>
      </c>
      <c r="C88" t="s">
        <v>90</v>
      </c>
      <c r="D88" s="5">
        <v>45580</v>
      </c>
      <c r="E88" s="5">
        <v>45741</v>
      </c>
      <c r="F88" s="5">
        <v>45942</v>
      </c>
      <c r="G88" t="s">
        <v>405</v>
      </c>
      <c r="H88" s="3" t="str">
        <f t="shared" si="0"/>
        <v>20260101</v>
      </c>
      <c r="I88" t="s">
        <v>212</v>
      </c>
    </row>
    <row r="89" spans="1:9" x14ac:dyDescent="0.2">
      <c r="A89" t="s">
        <v>406</v>
      </c>
      <c r="B89" t="s">
        <v>407</v>
      </c>
      <c r="C89" t="s">
        <v>408</v>
      </c>
      <c r="D89" s="5">
        <v>45629</v>
      </c>
      <c r="E89" s="5">
        <v>45636</v>
      </c>
      <c r="F89" s="5">
        <v>45845</v>
      </c>
      <c r="G89" t="s">
        <v>409</v>
      </c>
      <c r="H89" s="3" t="str">
        <f t="shared" si="0"/>
        <v>20260101</v>
      </c>
      <c r="I89" t="s">
        <v>212</v>
      </c>
    </row>
    <row r="90" spans="1:9" x14ac:dyDescent="0.2">
      <c r="A90" t="s">
        <v>410</v>
      </c>
      <c r="B90" t="s">
        <v>411</v>
      </c>
      <c r="C90" t="s">
        <v>220</v>
      </c>
      <c r="D90" s="5">
        <v>45613</v>
      </c>
      <c r="E90" s="5">
        <v>45613</v>
      </c>
      <c r="F90" s="5">
        <v>45733</v>
      </c>
      <c r="G90" t="s">
        <v>412</v>
      </c>
      <c r="H90" s="3" t="str">
        <f t="shared" ref="H90:H109" si="1">IF(ISERROR(DATEVALUE(MID(D90, FIND(" ", D90)+1, FIND(",", D90)-FIND(" ", D90)-1) &amp; "-" &amp; LEFT(D90, FIND(" ", D90)-1) &amp; "-" &amp; RIGHT(D90, 4))), "20260101", TEXT(DATEVALUE(MID(D90, FIND(" ", D90)+1, FIND(",", D90)-FIND(" ", D90)-1) &amp; "-" &amp; LEFT(D90, FIND(" ", D90)-1) &amp; "-" &amp; RIGHT(D90, 4)), "YYYYMMDD"))</f>
        <v>20260101</v>
      </c>
      <c r="I90" t="s">
        <v>212</v>
      </c>
    </row>
    <row r="91" spans="1:9" x14ac:dyDescent="0.2">
      <c r="A91" t="s">
        <v>413</v>
      </c>
      <c r="B91" t="s">
        <v>414</v>
      </c>
      <c r="C91" t="s">
        <v>215</v>
      </c>
      <c r="D91" s="5">
        <v>45706</v>
      </c>
      <c r="E91" s="5">
        <v>45706</v>
      </c>
      <c r="F91" s="5">
        <v>45789</v>
      </c>
      <c r="G91" t="s">
        <v>415</v>
      </c>
      <c r="H91" s="3" t="str">
        <f t="shared" si="1"/>
        <v>20260101</v>
      </c>
      <c r="I91" t="s">
        <v>212</v>
      </c>
    </row>
    <row r="92" spans="1:9" x14ac:dyDescent="0.2">
      <c r="A92" t="s">
        <v>416</v>
      </c>
      <c r="B92" t="s">
        <v>417</v>
      </c>
      <c r="C92" t="s">
        <v>229</v>
      </c>
      <c r="D92" s="5">
        <v>45610</v>
      </c>
      <c r="E92" s="5">
        <v>45610</v>
      </c>
      <c r="F92" s="5">
        <v>45824</v>
      </c>
      <c r="G92" t="s">
        <v>418</v>
      </c>
      <c r="H92" s="3" t="str">
        <f t="shared" si="1"/>
        <v>20260101</v>
      </c>
      <c r="I92" t="s">
        <v>212</v>
      </c>
    </row>
    <row r="93" spans="1:9" x14ac:dyDescent="0.2">
      <c r="A93" t="s">
        <v>419</v>
      </c>
      <c r="B93" t="s">
        <v>420</v>
      </c>
      <c r="C93" t="s">
        <v>421</v>
      </c>
      <c r="D93" s="5">
        <v>45692</v>
      </c>
      <c r="E93" s="5">
        <v>45696</v>
      </c>
      <c r="F93" s="5">
        <v>45824</v>
      </c>
      <c r="G93" t="s">
        <v>422</v>
      </c>
      <c r="H93" s="3" t="str">
        <f t="shared" si="1"/>
        <v>20260101</v>
      </c>
      <c r="I93" t="s">
        <v>212</v>
      </c>
    </row>
    <row r="94" spans="1:9" x14ac:dyDescent="0.2">
      <c r="A94" t="s">
        <v>423</v>
      </c>
      <c r="B94" s="2" t="s">
        <v>424</v>
      </c>
      <c r="C94" t="s">
        <v>425</v>
      </c>
      <c r="D94" s="5">
        <v>45658</v>
      </c>
      <c r="E94" s="5">
        <v>45658</v>
      </c>
      <c r="F94" s="5">
        <v>45830</v>
      </c>
      <c r="G94" t="s">
        <v>426</v>
      </c>
      <c r="H94" s="3" t="str">
        <f t="shared" si="1"/>
        <v>20260101</v>
      </c>
      <c r="I94" t="s">
        <v>212</v>
      </c>
    </row>
    <row r="95" spans="1:9" x14ac:dyDescent="0.2">
      <c r="A95" t="s">
        <v>427</v>
      </c>
      <c r="B95" t="s">
        <v>428</v>
      </c>
      <c r="C95" t="s">
        <v>429</v>
      </c>
      <c r="D95" s="5">
        <v>45484</v>
      </c>
      <c r="E95" s="5">
        <v>45484</v>
      </c>
      <c r="F95" s="5">
        <v>45676</v>
      </c>
      <c r="G95" t="s">
        <v>430</v>
      </c>
      <c r="H95" s="3" t="str">
        <f t="shared" si="1"/>
        <v>20260101</v>
      </c>
      <c r="I95" t="s">
        <v>212</v>
      </c>
    </row>
    <row r="96" spans="1:9" x14ac:dyDescent="0.2">
      <c r="A96" t="s">
        <v>431</v>
      </c>
      <c r="B96" t="s">
        <v>217</v>
      </c>
      <c r="C96" t="s">
        <v>432</v>
      </c>
      <c r="D96" s="5">
        <v>45673</v>
      </c>
      <c r="E96" s="5">
        <v>45680</v>
      </c>
      <c r="F96" s="5">
        <v>45879</v>
      </c>
      <c r="G96" t="s">
        <v>433</v>
      </c>
      <c r="H96" s="3" t="str">
        <f t="shared" si="1"/>
        <v>20260101</v>
      </c>
      <c r="I96" t="s">
        <v>212</v>
      </c>
    </row>
    <row r="97" spans="1:9" x14ac:dyDescent="0.2">
      <c r="A97" t="s">
        <v>434</v>
      </c>
      <c r="B97" t="s">
        <v>117</v>
      </c>
      <c r="C97" t="s">
        <v>86</v>
      </c>
      <c r="D97" s="5">
        <v>45673</v>
      </c>
      <c r="E97" s="5">
        <v>45680</v>
      </c>
      <c r="F97" s="5">
        <v>45851</v>
      </c>
      <c r="G97" t="s">
        <v>435</v>
      </c>
      <c r="H97" s="3" t="str">
        <f t="shared" si="1"/>
        <v>20260101</v>
      </c>
      <c r="I97" t="s">
        <v>212</v>
      </c>
    </row>
    <row r="98" spans="1:9" x14ac:dyDescent="0.2">
      <c r="A98" t="s">
        <v>436</v>
      </c>
      <c r="B98" t="s">
        <v>214</v>
      </c>
      <c r="C98" t="s">
        <v>437</v>
      </c>
      <c r="D98" s="5">
        <v>45691</v>
      </c>
      <c r="E98" s="5">
        <v>45698</v>
      </c>
      <c r="F98" s="5">
        <v>45872</v>
      </c>
      <c r="G98" t="s">
        <v>438</v>
      </c>
      <c r="H98" s="3" t="str">
        <f t="shared" si="1"/>
        <v>20260101</v>
      </c>
      <c r="I98" t="s">
        <v>212</v>
      </c>
    </row>
    <row r="99" spans="1:9" x14ac:dyDescent="0.2">
      <c r="A99" t="s">
        <v>439</v>
      </c>
      <c r="B99" t="s">
        <v>424</v>
      </c>
      <c r="C99" t="s">
        <v>425</v>
      </c>
      <c r="D99" s="5">
        <v>45443</v>
      </c>
      <c r="E99" s="5">
        <v>45450</v>
      </c>
      <c r="F99" s="5">
        <v>45830</v>
      </c>
      <c r="G99" t="s">
        <v>440</v>
      </c>
      <c r="H99" s="3" t="str">
        <f t="shared" si="1"/>
        <v>20260101</v>
      </c>
      <c r="I99" t="s">
        <v>212</v>
      </c>
    </row>
    <row r="100" spans="1:9" x14ac:dyDescent="0.2">
      <c r="A100" t="s">
        <v>441</v>
      </c>
      <c r="B100" t="s">
        <v>442</v>
      </c>
      <c r="C100" t="s">
        <v>443</v>
      </c>
      <c r="D100" s="5">
        <v>45478</v>
      </c>
      <c r="E100" s="5">
        <v>45478</v>
      </c>
      <c r="F100" s="5">
        <v>45669</v>
      </c>
      <c r="G100" t="s">
        <v>444</v>
      </c>
      <c r="H100" s="3" t="str">
        <f t="shared" si="1"/>
        <v>20260101</v>
      </c>
      <c r="I100" t="s">
        <v>212</v>
      </c>
    </row>
    <row r="101" spans="1:9" x14ac:dyDescent="0.2">
      <c r="A101" t="s">
        <v>445</v>
      </c>
      <c r="B101" t="s">
        <v>228</v>
      </c>
      <c r="C101" t="s">
        <v>446</v>
      </c>
      <c r="D101" s="5">
        <v>45757</v>
      </c>
      <c r="E101" s="5">
        <v>45764</v>
      </c>
      <c r="F101" s="5">
        <v>45943</v>
      </c>
      <c r="G101" t="s">
        <v>447</v>
      </c>
      <c r="H101" s="3" t="str">
        <f t="shared" si="1"/>
        <v>20260101</v>
      </c>
      <c r="I101" t="s">
        <v>212</v>
      </c>
    </row>
    <row r="102" spans="1:9" x14ac:dyDescent="0.2">
      <c r="A102" t="s">
        <v>448</v>
      </c>
      <c r="B102" t="s">
        <v>449</v>
      </c>
      <c r="C102" t="s">
        <v>450</v>
      </c>
      <c r="D102" s="5">
        <v>45600</v>
      </c>
      <c r="E102" s="5">
        <v>45600</v>
      </c>
      <c r="F102" s="5">
        <v>45831</v>
      </c>
      <c r="G102" t="s">
        <v>451</v>
      </c>
      <c r="H102" s="3" t="str">
        <f t="shared" si="1"/>
        <v>20260101</v>
      </c>
      <c r="I102" t="s">
        <v>212</v>
      </c>
    </row>
    <row r="103" spans="1:9" x14ac:dyDescent="0.2">
      <c r="A103" t="s">
        <v>452</v>
      </c>
      <c r="B103" t="s">
        <v>453</v>
      </c>
      <c r="C103" t="s">
        <v>454</v>
      </c>
      <c r="D103" s="5">
        <v>45698</v>
      </c>
      <c r="E103" s="5">
        <v>45698</v>
      </c>
      <c r="F103" s="5">
        <v>45860</v>
      </c>
      <c r="G103" t="s">
        <v>455</v>
      </c>
      <c r="H103" s="3" t="str">
        <f t="shared" si="1"/>
        <v>20260101</v>
      </c>
      <c r="I103" t="s">
        <v>212</v>
      </c>
    </row>
    <row r="104" spans="1:9" x14ac:dyDescent="0.2">
      <c r="A104" t="s">
        <v>456</v>
      </c>
      <c r="B104" t="s">
        <v>457</v>
      </c>
      <c r="C104" t="s">
        <v>458</v>
      </c>
      <c r="D104" s="5">
        <v>45689</v>
      </c>
      <c r="E104" s="5">
        <v>45689</v>
      </c>
      <c r="F104" s="5">
        <v>45942</v>
      </c>
      <c r="G104" t="s">
        <v>459</v>
      </c>
      <c r="H104" s="3" t="str">
        <f t="shared" si="1"/>
        <v>20260101</v>
      </c>
      <c r="I104" t="s">
        <v>212</v>
      </c>
    </row>
    <row r="105" spans="1:9" x14ac:dyDescent="0.2">
      <c r="A105" t="s">
        <v>460</v>
      </c>
      <c r="B105" t="s">
        <v>461</v>
      </c>
      <c r="C105" t="s">
        <v>443</v>
      </c>
      <c r="D105" s="5">
        <v>45580</v>
      </c>
      <c r="E105" s="5">
        <v>45587</v>
      </c>
      <c r="F105" s="5">
        <v>45888</v>
      </c>
      <c r="G105" t="s">
        <v>440</v>
      </c>
      <c r="H105" s="3" t="str">
        <f t="shared" si="1"/>
        <v>20260101</v>
      </c>
      <c r="I105" t="s">
        <v>212</v>
      </c>
    </row>
    <row r="106" spans="1:9" x14ac:dyDescent="0.2">
      <c r="A106" t="s">
        <v>462</v>
      </c>
      <c r="B106" t="s">
        <v>282</v>
      </c>
      <c r="C106" t="s">
        <v>311</v>
      </c>
      <c r="D106" s="5">
        <v>45669</v>
      </c>
      <c r="E106" s="5">
        <v>45676</v>
      </c>
      <c r="F106" s="5">
        <v>45782</v>
      </c>
      <c r="G106" t="s">
        <v>463</v>
      </c>
      <c r="H106" s="3" t="str">
        <f t="shared" si="1"/>
        <v>20260101</v>
      </c>
      <c r="I106" t="s">
        <v>212</v>
      </c>
    </row>
    <row r="107" spans="1:9" x14ac:dyDescent="0.2">
      <c r="A107" t="s">
        <v>389</v>
      </c>
      <c r="B107" t="s">
        <v>464</v>
      </c>
      <c r="C107" t="s">
        <v>115</v>
      </c>
      <c r="D107" s="5">
        <v>45778</v>
      </c>
      <c r="E107" s="5">
        <v>45785</v>
      </c>
      <c r="F107" s="5">
        <v>45945</v>
      </c>
      <c r="G107" t="s">
        <v>392</v>
      </c>
      <c r="H107" s="3" t="str">
        <f t="shared" si="1"/>
        <v>20260101</v>
      </c>
      <c r="I107" t="s">
        <v>212</v>
      </c>
    </row>
    <row r="108" spans="1:9" x14ac:dyDescent="0.2">
      <c r="A108" t="s">
        <v>325</v>
      </c>
      <c r="B108" t="s">
        <v>326</v>
      </c>
      <c r="C108" t="s">
        <v>327</v>
      </c>
      <c r="D108" s="5">
        <v>45623</v>
      </c>
      <c r="E108" s="5">
        <v>45630</v>
      </c>
      <c r="F108" s="5">
        <v>45831</v>
      </c>
      <c r="G108" t="s">
        <v>465</v>
      </c>
      <c r="H108" s="3" t="str">
        <f t="shared" si="1"/>
        <v>20260101</v>
      </c>
      <c r="I108" t="s">
        <v>212</v>
      </c>
    </row>
    <row r="109" spans="1:9" x14ac:dyDescent="0.2">
      <c r="A109" t="s">
        <v>359</v>
      </c>
      <c r="B109" t="s">
        <v>360</v>
      </c>
      <c r="C109" t="s">
        <v>361</v>
      </c>
      <c r="D109" s="5">
        <v>45778</v>
      </c>
      <c r="E109" s="5">
        <v>45778</v>
      </c>
      <c r="F109" s="5">
        <v>46005</v>
      </c>
      <c r="G109" t="s">
        <v>466</v>
      </c>
      <c r="H109" s="3" t="str">
        <f t="shared" si="1"/>
        <v>20260101</v>
      </c>
      <c r="I109" t="s">
        <v>212</v>
      </c>
    </row>
  </sheetData>
  <phoneticPr fontId="18" type="noConversion"/>
  <hyperlinks>
    <hyperlink ref="B21" r:id="rId1" xr:uid="{476F0D4A-EEB6-476A-BC34-73B0586D28A6}"/>
    <hyperlink ref="B3" r:id="rId2" xr:uid="{99192D6A-9B2B-4F6C-9679-FB6AF36EDA01}"/>
    <hyperlink ref="B19" r:id="rId3" xr:uid="{A780F27E-F726-42AD-B077-0C27EAC80BDA}"/>
    <hyperlink ref="B6" r:id="rId4" xr:uid="{27A066AE-333C-40E8-983C-0C016AF7C593}"/>
    <hyperlink ref="B30" r:id="rId5" xr:uid="{9D3D9D08-BBA9-448C-8E61-A381367A0084}"/>
    <hyperlink ref="B31" r:id="rId6" xr:uid="{9A7A7CA2-9930-417A-8396-E86DA09B1A2C}"/>
    <hyperlink ref="B14" r:id="rId7" xr:uid="{F520DB87-669B-490F-88C8-1E39FDF08488}"/>
    <hyperlink ref="B7" r:id="rId8" xr:uid="{3A88E404-CAEB-4217-9917-D6525167188C}"/>
    <hyperlink ref="B8" r:id="rId9" xr:uid="{F9C1937D-7582-473D-9136-801DEAA619BA}"/>
    <hyperlink ref="B33" r:id="rId10" xr:uid="{5E06E455-4CB8-4B1E-BA18-317491446FFF}"/>
    <hyperlink ref="B10" r:id="rId11" xr:uid="{B6C8A7F8-FC03-4BE6-8B7A-B832BD6C3FF7}"/>
    <hyperlink ref="B5" r:id="rId12" xr:uid="{CD7DB31A-E337-4B90-9DB8-1F7C1F85E86E}"/>
    <hyperlink ref="B20" r:id="rId13" xr:uid="{D001AEA7-E7C7-4AA6-A40A-386206B2A08C}"/>
    <hyperlink ref="B94" r:id="rId14" xr:uid="{9E1A4DC7-CE04-7F42-862A-43052CC340E3}"/>
  </hyperlinks>
  <pageMargins left="0.7" right="0.7" top="0.75" bottom="0.75" header="0.3" footer="0.3"/>
  <pageSetup orientation="portrait" horizontalDpi="0" verticalDpi="0"/>
  <tableParts count="1">
    <tablePart r:id="rId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conferences_countdown_with_rese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Colelough</dc:creator>
  <cp:lastModifiedBy>Colelough, Brandon (NIH/NLM) [F]</cp:lastModifiedBy>
  <dcterms:created xsi:type="dcterms:W3CDTF">2024-09-03T17:44:07Z</dcterms:created>
  <dcterms:modified xsi:type="dcterms:W3CDTF">2025-06-18T21:38:06Z</dcterms:modified>
</cp:coreProperties>
</file>