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840" yWindow="500" windowWidth="38400" windowHeight="21100" tabRatio="600" firstSheet="0" activeTab="0" autoFilterDateGrouping="1"/>
  </bookViews>
  <sheets>
    <sheet name="conferences_countdown_with_re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/mm/yyyy"/>
    <numFmt numFmtId="165" formatCode="[$-409]mmmm\ d\,\ yyyy;@"/>
    <numFmt numFmtId="166" formatCode="mmmm\ d\,\ yyyy"/>
    <numFmt numFmtId="167" formatCode="[$-F800]dddd\,\ mmmm\ dd\,\ yyyy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color rgb="FF000000"/>
      <sz val="1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9" fillId="0" borderId="0"/>
  </cellStyleXfs>
  <cellXfs count="13">
    <xf numFmtId="0" fontId="0" fillId="0" borderId="0" pivotButton="0" quotePrefix="0" xfId="0"/>
    <xf numFmtId="17" fontId="0" fillId="0" borderId="0" pivotButton="0" quotePrefix="0" xfId="0"/>
    <xf numFmtId="0" fontId="19" fillId="0" borderId="0" pivotButton="0" quotePrefix="0" xfId="42"/>
    <xf numFmtId="14" fontId="0" fillId="0" borderId="0" pivotButton="0" quotePrefix="0" xfId="0"/>
    <xf numFmtId="164" fontId="0" fillId="0" borderId="0" pivotButton="0" quotePrefix="0" xfId="0"/>
    <xf numFmtId="165" fontId="0" fillId="0" borderId="0" applyAlignment="1" pivotButton="0" quotePrefix="0" xfId="0">
      <alignment horizontal="left"/>
    </xf>
    <xf numFmtId="165" fontId="0" fillId="0" borderId="0" pivotButton="0" quotePrefix="0" xfId="0"/>
    <xf numFmtId="15" fontId="0" fillId="0" borderId="0" pivotButton="0" quotePrefix="0" xfId="0"/>
    <xf numFmtId="15" fontId="2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5" fontId="0" fillId="0" borderId="0" applyAlignment="1" pivotButton="0" quotePrefix="0" xfId="0">
      <alignment vertical="top" wrapText="1"/>
    </xf>
    <xf numFmtId="167" fontId="0" fillId="0" borderId="0" pivotButton="0" quotePrefix="0" xfId="0"/>
  </cellXfs>
  <cellStyles count="43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Hyperlink" xfId="42" builtinId="8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I325" headerRowCount="1" totalsRowShown="0">
  <autoFilter ref="A1:I325"/>
  <sortState ref="A2:H35">
    <sortCondition ref="H1:H35"/>
  </sortState>
  <tableColumns count="9">
    <tableColumn id="1" name="Conference / Symposia Name"/>
    <tableColumn id="2" name="Website"/>
    <tableColumn id="3" name="Location"/>
    <tableColumn id="4" name="Abstract Submission Date" dataDxfId="2"/>
    <tableColumn id="5" name="Paper Submission Date" dataDxfId="1"/>
    <tableColumn id="6" name="Conference Date"/>
    <tableColumn id="7" name="Research Area(s)"/>
    <tableColumn id="8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linical-nlp.github.io/2024/" TargetMode="External" Id="rId1" /><Relationship Type="http://schemas.openxmlformats.org/officeDocument/2006/relationships/hyperlink" Target="https://fllm-conference.org/2024/" TargetMode="External" Id="rId2" /><Relationship Type="http://schemas.openxmlformats.org/officeDocument/2006/relationships/hyperlink" Target="https://2024.emnlp.org/" TargetMode="External" Id="rId3" /><Relationship Type="http://schemas.openxmlformats.org/officeDocument/2006/relationships/hyperlink" Target="https://www.conll.org/" TargetMode="External" Id="rId4" /><Relationship Type="http://schemas.openxmlformats.org/officeDocument/2006/relationships/hyperlink" Target="https://psb.stanford.edu/" TargetMode="External" Id="rId5" /><Relationship Type="http://schemas.openxmlformats.org/officeDocument/2006/relationships/hyperlink" Target="https://ieeebibm.org/BIBM2024/" TargetMode="External" Id="rId6" /><Relationship Type="http://schemas.openxmlformats.org/officeDocument/2006/relationships/hyperlink" Target="https://amia.org/education-events/amia-2025-informatics-summit" TargetMode="External" Id="rId7" /><Relationship Type="http://schemas.openxmlformats.org/officeDocument/2006/relationships/hyperlink" Target="https://2025.naacl.org/" TargetMode="External" Id="rId8" /><Relationship Type="http://schemas.openxmlformats.org/officeDocument/2006/relationships/hyperlink" Target="https://cvpr.thecvf.com/Conferences/2025" TargetMode="External" Id="rId9" /><Relationship Type="http://schemas.openxmlformats.org/officeDocument/2006/relationships/hyperlink" Target="https://2025.aclweb.org/program/workshops/" TargetMode="External" Id="rId10" /><Relationship Type="http://schemas.openxmlformats.org/officeDocument/2006/relationships/hyperlink" Target="https://irmv.sjtu.edu.cn/iros2025/" TargetMode="External" Id="rId11" /><Relationship Type="http://schemas.openxmlformats.org/officeDocument/2006/relationships/hyperlink" Target="https://sigir2025.dei.unipd.it/" TargetMode="External" Id="rId12" /><Relationship Type="http://schemas.openxmlformats.org/officeDocument/2006/relationships/hyperlink" Target="https://conferenceindex.org/event/international-conference-on-language-resources-and-evaluation-iclre-2025-august-budapest-hu" TargetMode="External" Id="rId13" /><Relationship Type="http://schemas.openxmlformats.org/officeDocument/2006/relationships/hyperlink" Target="https://2025.sigmod.org/" TargetMode="External" Id="rId14" /><Relationship Type="http://schemas.openxmlformats.org/officeDocument/2006/relationships/hyperlink" Target="https://unitedresearchforum.com/ai-conference/" TargetMode="External" Id="rId15" /><Relationship Type="http://schemas.openxmlformats.org/officeDocument/2006/relationships/hyperlink" Target="https://conferences.sigcomm.org/co-next/2025/" TargetMode="External" Id="rId16" /><Relationship Type="http://schemas.openxmlformats.org/officeDocument/2006/relationships/hyperlink" Target="https://conferences.sigcomm.org/co-next/2025/" TargetMode="External" Id="rId17" /><Relationship Type="http://schemas.openxmlformats.org/officeDocument/2006/relationships/hyperlink" Target="https://s2026.siggraph.org/" TargetMode="External" Id="rId18" /><Relationship Type="http://schemas.openxmlformats.org/officeDocument/2006/relationships/hyperlink" Target="https://wacv.thecvf.com/Conferences/2026/Dates" TargetMode="External" Id="rId19" /><Relationship Type="http://schemas.openxmlformats.org/officeDocument/2006/relationships/hyperlink" Target="https://ppsn2026.disi.unitn.it/" TargetMode="External" Id="rId20" /><Relationship Type="http://schemas.openxmlformats.org/officeDocument/2006/relationships/hyperlink" Target="https://www.conll.org/" TargetMode="External" Id="rId21" /><Relationship Type="http://schemas.openxmlformats.org/officeDocument/2006/relationships/hyperlink" Target="https://www.auai.org/uai2026/" TargetMode="External" Id="rId22" /><Relationship Type="http://schemas.openxmlformats.org/officeDocument/2006/relationships/hyperlink" Target="https://ecmlpkdd.org/2026/" TargetMode="External" Id="rId23" /><Relationship Type="http://schemas.openxmlformats.org/officeDocument/2006/relationships/hyperlink" Target="https://conf.researchr.org/home/ase-2026" TargetMode="External" Id="rId24" /><Relationship Type="http://schemas.openxmlformats.org/officeDocument/2006/relationships/hyperlink" Target="https://adbis26.sciencesconf.org/" TargetMode="External" Id="rId25" /><Relationship Type="http://schemas.openxmlformats.org/officeDocument/2006/relationships/hyperlink" Target="https://iswc2026.semanticweb.org/" TargetMode="External" Id="rId26" /><Relationship Type="http://schemas.openxmlformats.org/officeDocument/2006/relationships/hyperlink" Target="https://icdm2026.neu.edu.cn/" TargetMode="External" Id="rId27" /><Relationship Type="http://schemas.openxmlformats.org/officeDocument/2006/relationships/hyperlink" Target="https://accv2026.org/" TargetMode="External" Id="rId28" /><Relationship Type="http://schemas.openxmlformats.org/officeDocument/2006/relationships/hyperlink" Target="https://conferences.i-cav.org/2026/" TargetMode="External" Id="rId29" /><Relationship Type="http://schemas.openxmlformats.org/officeDocument/2006/relationships/hyperlink" Target="https://icmr2026.org/" TargetMode="External" Id="rId30" /><Relationship Type="http://schemas.openxmlformats.org/officeDocument/2006/relationships/hyperlink" Target="https://mipr2026.org/" TargetMode="External" Id="rId31" /><Relationship Type="http://schemas.openxmlformats.org/officeDocument/2006/relationships/table" Target="/xl/tables/table1.xm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1"/>
  <sheetViews>
    <sheetView tabSelected="1" topLeftCell="B1" workbookViewId="0">
      <pane ySplit="1" topLeftCell="A284" activePane="bottomLeft" state="frozen"/>
      <selection pane="bottomLeft" activeCell="C328" sqref="C328"/>
    </sheetView>
  </sheetViews>
  <sheetFormatPr baseColWidth="10" defaultColWidth="8.83203125" defaultRowHeight="15"/>
  <cols>
    <col width="95.5" bestFit="1" customWidth="1" min="1" max="1"/>
    <col width="99.33203125" bestFit="1" customWidth="1" min="2" max="2"/>
    <col width="60" bestFit="1" customWidth="1" min="3" max="3"/>
    <col width="24" bestFit="1" customWidth="1" min="4" max="4"/>
    <col width="21.83203125" bestFit="1" customWidth="1" min="5" max="5"/>
    <col width="16.83203125" bestFit="1" customWidth="1" min="6" max="6"/>
    <col width="55.5" bestFit="1" customWidth="1" min="7" max="7"/>
    <col width="58" bestFit="1" customWidth="1" min="8" max="8"/>
    <col width="19.33203125" bestFit="1" customWidth="1" min="9" max="9"/>
  </cols>
  <sheetData>
    <row r="1">
      <c r="A1" t="inlineStr">
        <is>
          <t>Conference / Symposia Name</t>
        </is>
      </c>
      <c r="B1" t="inlineStr">
        <is>
          <t>Website</t>
        </is>
      </c>
      <c r="C1" t="inlineStr">
        <is>
          <t>Location</t>
        </is>
      </c>
      <c r="D1" t="inlineStr">
        <is>
          <t>Abstract Submission Date</t>
        </is>
      </c>
      <c r="E1" t="inlineStr">
        <is>
          <t>Paper Submission Date</t>
        </is>
      </c>
      <c r="F1" t="inlineStr">
        <is>
          <t>Conference Date</t>
        </is>
      </c>
      <c r="G1" t="inlineStr">
        <is>
          <t>Research Area(s)</t>
        </is>
      </c>
      <c r="H1" t="inlineStr">
        <is>
          <t>date number for the Abstract Submission (number used for ordering)</t>
        </is>
      </c>
      <c r="I1" t="inlineStr">
        <is>
          <t>Conference Ranking</t>
        </is>
      </c>
    </row>
    <row r="2">
      <c r="A2" t="inlineStr">
        <is>
          <t>KR 2024 - Principles of Knowledge Representation and Reasoning Conference</t>
        </is>
      </c>
      <c r="B2" t="inlineStr">
        <is>
          <t>https://kr.org/KR2024/</t>
        </is>
      </c>
      <c r="C2" t="inlineStr">
        <is>
          <t>Vienna, Austria</t>
        </is>
      </c>
      <c r="D2" s="6" t="inlineStr">
        <is>
          <t>March 5, 2024</t>
        </is>
      </c>
      <c r="E2" s="6" t="inlineStr">
        <is>
          <t>March 12, 2024</t>
        </is>
      </c>
      <c r="F2" t="inlineStr">
        <is>
          <t>September 9, 2024</t>
        </is>
      </c>
      <c r="G2" t="inlineStr">
        <is>
          <t>KRR, AI</t>
        </is>
      </c>
      <c r="H2" s="3">
        <f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/>
      </c>
      <c r="I2" t="inlineStr">
        <is>
          <t>A</t>
        </is>
      </c>
    </row>
    <row r="3">
      <c r="A3" t="inlineStr">
        <is>
          <t>Clinical Natural Language Processing Workshop (ClinicalNLP) 2024</t>
        </is>
      </c>
      <c r="B3" s="2" t="inlineStr">
        <is>
          <t>https://clinical-nlp.github.io/2024/</t>
        </is>
      </c>
      <c r="C3" t="inlineStr">
        <is>
          <t>Mexico City, Mexico</t>
        </is>
      </c>
      <c r="D3" s="6" t="inlineStr">
        <is>
          <t>March 19, 2024</t>
        </is>
      </c>
      <c r="E3" s="6" t="inlineStr">
        <is>
          <t>April 18, 2024</t>
        </is>
      </c>
      <c r="F3" s="1" t="inlineStr">
        <is>
          <t>April 24, 2024</t>
        </is>
      </c>
      <c r="G3" t="inlineStr">
        <is>
          <t>C-NLP, BioNLP, MTM</t>
        </is>
      </c>
      <c r="H3" s="3">
        <f>IF(ISERROR(DATEVALUE(MID(D3, FIND(" ", D3)+1, FIND(",", D3)-FIND(" ", D3)-1) &amp; "-" &amp; LEFT(D3, FIND(" ", D3)-1) &amp; "-" &amp; RIGHT(D3, 4))), "20260101", TEXT(DATEVALUE(MID(D3, FIND(" ", D3)+1, FIND(",", D3)-FIND(" ", D3)-1) &amp; "-" &amp; LEFT(D3, FIND(" ", D3)-1) &amp; "-" &amp; RIGHT(D3, 4)), "YYYYMMDD"))</f>
        <v/>
      </c>
      <c r="I3" t="inlineStr">
        <is>
          <t>Unranked</t>
        </is>
      </c>
    </row>
    <row r="4">
      <c r="A4" t="inlineStr">
        <is>
          <t>NeSy Workshop 2024 - Neuro-Symbolic Learning and Reasoning</t>
        </is>
      </c>
      <c r="B4" t="inlineStr">
        <is>
          <t>https://easychair.org/cfp/NeSy2024</t>
        </is>
      </c>
      <c r="C4" t="inlineStr">
        <is>
          <t>Barcelona, Spain</t>
        </is>
      </c>
      <c r="D4" s="6" t="inlineStr">
        <is>
          <t>April 21, 2024</t>
        </is>
      </c>
      <c r="E4" s="6" t="inlineStr">
        <is>
          <t>April 26, 2024</t>
        </is>
      </c>
      <c r="F4" t="inlineStr">
        <is>
          <t>September 9, 2024</t>
        </is>
      </c>
      <c r="G4" t="inlineStr">
        <is>
          <t>NSAI, ML, KRR</t>
        </is>
      </c>
      <c r="H4" s="3">
        <f>IF(ISERROR(DATEVALUE(MID(D4, FIND(" ", D4)+1, FIND(",", D4)-FIND(" ", D4)-1) &amp; "-" &amp; LEFT(D4, FIND(" ", D4)-1) &amp; "-" &amp; RIGHT(D4, 4))), "20260101", TEXT(DATEVALUE(MID(D4, FIND(" ", D4)+1, FIND(",", D4)-FIND(" ", D4)-1) &amp; "-" &amp; LEFT(D4, FIND(" ", D4)-1) &amp; "-" &amp; RIGHT(D4, 4)), "YYYYMMDD"))</f>
        <v/>
      </c>
      <c r="I4" t="inlineStr">
        <is>
          <t>Unranked</t>
        </is>
      </c>
    </row>
    <row r="5">
      <c r="A5" t="inlineStr">
        <is>
          <t>FLLM 2024 - The 2nd International Conference on Foundation and Large Language Models</t>
        </is>
      </c>
      <c r="B5" s="2" t="inlineStr">
        <is>
          <t>https://fllm-conference.org/2024/</t>
        </is>
      </c>
      <c r="C5" t="inlineStr">
        <is>
          <t>Dubai, UAE</t>
        </is>
      </c>
      <c r="D5" s="6" t="inlineStr">
        <is>
          <t>May 30, 2024</t>
        </is>
      </c>
      <c r="E5" s="6" t="inlineStr">
        <is>
          <t>June 30, 2024</t>
        </is>
      </c>
      <c r="F5" t="inlineStr">
        <is>
          <t>November 26, 2024</t>
        </is>
      </c>
      <c r="G5" t="inlineStr">
        <is>
          <t>LLM, NLP</t>
        </is>
      </c>
      <c r="H5" s="3">
        <f>IF(ISERROR(DATEVALUE(MID(D5, FIND(" ", D5)+1, FIND(",", D5)-FIND(" ", D5)-1) &amp; "-" &amp; LEFT(D5, FIND(" ", D5)-1) &amp; "-" &amp; RIGHT(D5, 4))), "20260101", TEXT(DATEVALUE(MID(D5, FIND(" ", D5)+1, FIND(",", D5)-FIND(" ", D5)-1) &amp; "-" &amp; LEFT(D5, FIND(" ", D5)-1) &amp; "-" &amp; RIGHT(D5, 4)), "YYYYMMDD"))</f>
        <v/>
      </c>
      <c r="I5" t="inlineStr">
        <is>
          <t>Unranked</t>
        </is>
      </c>
    </row>
    <row r="6">
      <c r="A6" t="inlineStr">
        <is>
          <t>EMNLP 2024 - The 2024 Conference on Empirical Methods in Natural Language Processing</t>
        </is>
      </c>
      <c r="B6" s="2" t="inlineStr">
        <is>
          <t>https://2024.emnlp.org/</t>
        </is>
      </c>
      <c r="C6" t="inlineStr">
        <is>
          <t>Miami, Florida, USA</t>
        </is>
      </c>
      <c r="D6" s="6" t="inlineStr">
        <is>
          <t>June 15, 2024</t>
        </is>
      </c>
      <c r="E6" s="6" t="inlineStr">
        <is>
          <t>August 20, 2024</t>
        </is>
      </c>
      <c r="F6" s="1" t="inlineStr">
        <is>
          <t>November 12, 2024</t>
        </is>
      </c>
      <c r="G6" t="inlineStr">
        <is>
          <t xml:space="preserve"> NLP, CL, ML</t>
        </is>
      </c>
      <c r="H6" s="3">
        <f>IF(ISERROR(DATEVALUE(MID(D6, FIND(" ", D6)+1, FIND(",", D6)-FIND(" ", D6)-1) &amp; "-" &amp; LEFT(D6, FIND(" ", D6)-1) &amp; "-" &amp; RIGHT(D6, 4))), "20260101", TEXT(DATEVALUE(MID(D6, FIND(" ", D6)+1, FIND(",", D6)-FIND(" ", D6)-1) &amp; "-" &amp; LEFT(D6, FIND(" ", D6)-1) &amp; "-" &amp; RIGHT(D6, 4)), "YYYYMMDD"))</f>
        <v/>
      </c>
      <c r="I6" t="inlineStr">
        <is>
          <t>A*</t>
        </is>
      </c>
    </row>
    <row r="7">
      <c r="A7" t="inlineStr">
        <is>
          <t xml:space="preserve">Conference on Computational Natural Language Learning (CoNLL) 2024 </t>
        </is>
      </c>
      <c r="B7" s="2" t="inlineStr">
        <is>
          <t>https://www.conll.org/</t>
        </is>
      </c>
      <c r="C7" t="inlineStr">
        <is>
          <t xml:space="preserve"> Miami, Florida USA</t>
        </is>
      </c>
      <c r="D7" s="6" t="inlineStr">
        <is>
          <t>July 7, 2024</t>
        </is>
      </c>
      <c r="E7" s="6" t="inlineStr">
        <is>
          <t>July 07, 2024</t>
        </is>
      </c>
      <c r="F7" t="inlineStr">
        <is>
          <t>November 15, 2024</t>
        </is>
      </c>
      <c r="G7" t="inlineStr">
        <is>
          <t>NLP, MT, CL, ST</t>
        </is>
      </c>
      <c r="H7" s="3">
        <f>IF(ISERROR(DATEVALUE(MID(D7, FIND(" ", D7)+1, FIND(",", D7)-FIND(" ", D7)-1) &amp; "-" &amp; LEFT(D7, FIND(" ", D7)-1) &amp; "-" &amp; RIGHT(D7, 4))), "20260101", TEXT(DATEVALUE(MID(D7, FIND(" ", D7)+1, FIND(",", D7)-FIND(" ", D7)-1) &amp; "-" &amp; LEFT(D7, FIND(" ", D7)-1) &amp; "-" &amp; RIGHT(D7, 4)), "YYYYMMDD"))</f>
        <v/>
      </c>
      <c r="I7" t="inlineStr">
        <is>
          <t>A</t>
        </is>
      </c>
    </row>
    <row r="8">
      <c r="A8" t="inlineStr">
        <is>
          <t>Pacific Symposium on Biocomputing (PSB 2025)</t>
        </is>
      </c>
      <c r="B8" s="2" t="inlineStr">
        <is>
          <t>https://psb.stanford.edu/</t>
        </is>
      </c>
      <c r="C8" t="inlineStr">
        <is>
          <t>Big Island, Hawaii, USA</t>
        </is>
      </c>
      <c r="D8" s="6" t="inlineStr">
        <is>
          <t>August 1, 2024</t>
        </is>
      </c>
      <c r="E8" s="6" t="inlineStr">
        <is>
          <t>December 2, 2024</t>
        </is>
      </c>
      <c r="F8" t="inlineStr">
        <is>
          <t>January 3, 2025</t>
        </is>
      </c>
      <c r="G8" t="inlineStr">
        <is>
          <t>BI, CB, BD</t>
        </is>
      </c>
      <c r="H8" s="3">
        <f>IF(ISERROR(DATEVALUE(MID(D8, FIND(" ", D8)+1, FIND(",", D8)-FIND(" ", D8)-1) &amp; "-" &amp; LEFT(D8, FIND(" ", D8)-1) &amp; "-" &amp; RIGHT(D8, 4))), "20260101", TEXT(DATEVALUE(MID(D8, FIND(" ", D8)+1, FIND(",", D8)-FIND(" ", D8)-1) &amp; "-" &amp; LEFT(D8, FIND(" ", D8)-1) &amp; "-" &amp; RIGHT(D8, 4)), "YYYYMMDD"))</f>
        <v/>
      </c>
      <c r="I8" t="inlineStr">
        <is>
          <t>B</t>
        </is>
      </c>
    </row>
    <row r="9">
      <c r="A9" t="inlineStr">
        <is>
          <t>AAAI-25 Fall Symposium Series</t>
        </is>
      </c>
      <c r="B9" t="inlineStr">
        <is>
          <t>https://aaai.org/conference/aaai/aaai-25/</t>
        </is>
      </c>
      <c r="C9" t="inlineStr">
        <is>
          <t>Arlington, VA, USA</t>
        </is>
      </c>
      <c r="D9" s="6" t="inlineStr">
        <is>
          <t>August 07, 2024</t>
        </is>
      </c>
      <c r="E9" s="6" t="inlineStr">
        <is>
          <t>August 15, 2024</t>
        </is>
      </c>
      <c r="F9" t="inlineStr">
        <is>
          <t>November 7, 2024</t>
        </is>
      </c>
      <c r="G9" t="inlineStr">
        <is>
          <t>NSAI, XAI, KRR</t>
        </is>
      </c>
      <c r="H9" s="3">
        <f>IF(ISERROR(DATEVALUE(MID(D9, FIND(" ", D9)+1, FIND(",", D9)-FIND(" ", D9)-1) &amp; "-" &amp; LEFT(D9, FIND(" ", D9)-1) &amp; "-" &amp; RIGHT(D9, 4))), "20260101", TEXT(DATEVALUE(MID(D9, FIND(" ", D9)+1, FIND(",", D9)-FIND(" ", D9)-1) &amp; "-" &amp; LEFT(D9, FIND(" ", D9)-1) &amp; "-" &amp; RIGHT(D9, 4)), "YYYYMMDD"))</f>
        <v/>
      </c>
      <c r="I9" t="inlineStr">
        <is>
          <t>Unranked</t>
        </is>
      </c>
    </row>
    <row r="10">
      <c r="A10" t="inlineStr">
        <is>
          <t>IEEE International Conference on Bioinformatics and Biomedicine (BIBM) 2024</t>
        </is>
      </c>
      <c r="B10" s="2" t="inlineStr">
        <is>
          <t>https://ieeebibm.org/BIBM2024/</t>
        </is>
      </c>
      <c r="C10" t="inlineStr">
        <is>
          <t>Lisbon, Portugal</t>
        </is>
      </c>
      <c r="D10" s="6" t="inlineStr">
        <is>
          <t>August 16, 2024</t>
        </is>
      </c>
      <c r="E10" s="6" t="inlineStr">
        <is>
          <t>August 16, 2024</t>
        </is>
      </c>
      <c r="F10" t="inlineStr">
        <is>
          <t>December 3, 2024</t>
        </is>
      </c>
      <c r="G10" t="inlineStr">
        <is>
          <t>BI, HI, CB</t>
        </is>
      </c>
      <c r="H10" s="3">
        <f>IF(ISERROR(DATEVALUE(MID(D10, FIND(" ", D10)+1, FIND(",", D10)-FIND(" ", D10)-1) &amp; "-" &amp; LEFT(D10, FIND(" ", D10)-1) &amp; "-" &amp; RIGHT(D10, 4))), "20260101", TEXT(DATEVALUE(MID(D10, FIND(" ", D10)+1, FIND(",", D10)-FIND(" ", D10)-1) &amp; "-" &amp; LEFT(D10, FIND(" ", D10)-1) &amp; "-" &amp; RIGHT(D10, 4)), "YYYYMMDD"))</f>
        <v/>
      </c>
      <c r="I10" t="inlineStr">
        <is>
          <t>B</t>
        </is>
      </c>
    </row>
    <row r="11">
      <c r="A11" t="inlineStr">
        <is>
          <t>ACM CHI 2025 (Conference on Human Factors in Computing Systems)</t>
        </is>
      </c>
      <c r="B11" t="inlineStr">
        <is>
          <t>https://chi2025.acm.org</t>
        </is>
      </c>
      <c r="C11" t="inlineStr">
        <is>
          <t>Yokohama, Japan</t>
        </is>
      </c>
      <c r="D11" s="6" t="inlineStr">
        <is>
          <t>September 5, 2024</t>
        </is>
      </c>
      <c r="E11" s="6" t="inlineStr">
        <is>
          <t>September 12, 2024</t>
        </is>
      </c>
      <c r="F11" t="inlineStr">
        <is>
          <t>April 26, 2025</t>
        </is>
      </c>
      <c r="G11" t="inlineStr">
        <is>
          <t>HCI, HC, UX</t>
        </is>
      </c>
      <c r="H11" s="3">
        <f>IF(ISERROR(DATEVALUE(MID(D11, FIND(" ", D11)+1, FIND(",", D11)-FIND(" ", D11)-1) &amp; "-" &amp; LEFT(D11, FIND(" ", D11)-1) &amp; "-" &amp; RIGHT(D11, 4))), "20260101", TEXT(DATEVALUE(MID(D11, FIND(" ", D11)+1, FIND(",", D11)-FIND(" ", D11)-1) &amp; "-" &amp; LEFT(D11, FIND(" ", D11)-1) &amp; "-" &amp; RIGHT(D11, 4)), "YYYYMMDD"))</f>
        <v/>
      </c>
      <c r="I11" t="inlineStr">
        <is>
          <t>A*</t>
        </is>
      </c>
    </row>
    <row r="12">
      <c r="A12" t="inlineStr">
        <is>
          <t>EAAI-25 (Educational Advances in AI)</t>
        </is>
      </c>
      <c r="B12" t="inlineStr">
        <is>
          <t>https://eaai-conf.github.io/year/eaai-25.html</t>
        </is>
      </c>
      <c r="C12" t="inlineStr">
        <is>
          <t>Philadelphia, Pennsylvania, USA</t>
        </is>
      </c>
      <c r="D12" s="6" t="inlineStr">
        <is>
          <t>September 9, 2024</t>
        </is>
      </c>
      <c r="E12" s="6" t="inlineStr">
        <is>
          <t>September 16, 2024</t>
        </is>
      </c>
      <c r="F12" t="inlineStr">
        <is>
          <t>February 25, 2025</t>
        </is>
      </c>
      <c r="G12" t="inlineStr">
        <is>
          <t>EDAI, HCAI</t>
        </is>
      </c>
      <c r="H12" s="3">
        <f>IF(ISERROR(DATEVALUE(MID(D12, FIND(" ", D12)+1, FIND(",", D12)-FIND(" ", D12)-1) &amp; "-" &amp; LEFT(D12, FIND(" ", D12)-1) &amp; "-" &amp; RIGHT(D12, 4))), "20260101", TEXT(DATEVALUE(MID(D12, FIND(" ", D12)+1, FIND(",", D12)-FIND(" ", D12)-1) &amp; "-" &amp; LEFT(D12, FIND(" ", D12)-1) &amp; "-" &amp; RIGHT(D12, 4)), "YYYYMMDD"))</f>
        <v/>
      </c>
      <c r="I12" t="inlineStr">
        <is>
          <t>Unranked</t>
        </is>
      </c>
    </row>
    <row r="13">
      <c r="A13" t="inlineStr">
        <is>
          <t>IEEE ICRA 2025 (International Conference on Robotics and Automation)</t>
        </is>
      </c>
      <c r="B13" t="inlineStr">
        <is>
          <t>https://2025.ieee-icra.org/announcements/paper-submissions/</t>
        </is>
      </c>
      <c r="C13" t="inlineStr">
        <is>
          <t>Georgia World Congress Center in Atlanta, Georgia, USA</t>
        </is>
      </c>
      <c r="D13" s="6" t="inlineStr">
        <is>
          <t>September 15, 2024</t>
        </is>
      </c>
      <c r="E13" s="6" t="inlineStr">
        <is>
          <t>September 15, 2024</t>
        </is>
      </c>
      <c r="F13" t="inlineStr">
        <is>
          <t>May 19, 2025</t>
        </is>
      </c>
      <c r="G13" t="inlineStr">
        <is>
          <t>ROB, CPS</t>
        </is>
      </c>
      <c r="H13" s="3">
        <f>IF(ISERROR(DATEVALUE(MID(D13, FIND(" ", D13)+1, FIND(",", D13)-FIND(" ", D13)-1) &amp; "-" &amp; LEFT(D13, FIND(" ", D13)-1) &amp; "-" &amp; RIGHT(D13, 4))), "20260101", TEXT(DATEVALUE(MID(D13, FIND(" ", D13)+1, FIND(",", D13)-FIND(" ", D13)-1) &amp; "-" &amp; LEFT(D13, FIND(" ", D13)-1) &amp; "-" &amp; RIGHT(D13, 4)), "YYYYMMDD"))</f>
        <v/>
      </c>
      <c r="I13" t="inlineStr">
        <is>
          <t>A*</t>
        </is>
      </c>
    </row>
    <row r="14">
      <c r="A14" t="inlineStr">
        <is>
          <t>AMIA 2025 Informatics Summit</t>
        </is>
      </c>
      <c r="B14" s="2" t="inlineStr">
        <is>
          <t>https://amia.org/education-events/amia-2025-informatics-summit</t>
        </is>
      </c>
      <c r="C14" t="inlineStr">
        <is>
          <t>Pittsburgh, PA, USA</t>
        </is>
      </c>
      <c r="D14" s="6" t="inlineStr">
        <is>
          <t>September 17, 2024</t>
        </is>
      </c>
      <c r="E14" s="6" t="inlineStr">
        <is>
          <t>September 17, 2024</t>
        </is>
      </c>
      <c r="F14" t="inlineStr">
        <is>
          <t>March 10, 2025</t>
        </is>
      </c>
      <c r="G14" t="inlineStr">
        <is>
          <t>TBI, PM, CRI, DS, AI</t>
        </is>
      </c>
      <c r="H14" s="3">
        <f>IF(ISERROR(DATEVALUE(MID(D14, FIND(" ", D14)+1, FIND(",", D14)-FIND(" ", D14)-1) &amp; "-" &amp; LEFT(D14, FIND(" ", D14)-1) &amp; "-" &amp; RIGHT(D14, 4))), "20260101", TEXT(DATEVALUE(MID(D14, FIND(" ", D14)+1, FIND(",", D14)-FIND(" ", D14)-1) &amp; "-" &amp; LEFT(D14, FIND(" ", D14)-1) &amp; "-" &amp; RIGHT(D14, 4)), "YYYYMMDD"))</f>
        <v/>
      </c>
      <c r="I14" t="inlineStr">
        <is>
          <t>Unranked</t>
        </is>
      </c>
    </row>
    <row r="15">
      <c r="A15" t="inlineStr">
        <is>
          <t>ICLR 2025 (International Conference on Learning Representations)</t>
        </is>
      </c>
      <c r="B15" t="inlineStr">
        <is>
          <t>https://iclr.cc</t>
        </is>
      </c>
      <c r="C15" t="inlineStr">
        <is>
          <t>Singapore EXPO, Singapore</t>
        </is>
      </c>
      <c r="D15" s="6" t="inlineStr">
        <is>
          <t>September 27, 2024</t>
        </is>
      </c>
      <c r="E15" s="6" t="inlineStr">
        <is>
          <t>October 1, 2024</t>
        </is>
      </c>
      <c r="F15" t="inlineStr">
        <is>
          <t>April 24, 2025</t>
        </is>
      </c>
      <c r="G15" t="inlineStr">
        <is>
          <t>ML, RL, MAS</t>
        </is>
      </c>
      <c r="H15" s="3">
        <f>IF(ISERROR(DATEVALUE(MID(D15, FIND(" ", D15)+1, FIND(",", D15)-FIND(" ", D15)-1) &amp; "-" &amp; LEFT(D15, FIND(" ", D15)-1) &amp; "-" &amp; RIGHT(D15, 4))), "20260101", TEXT(DATEVALUE(MID(D15, FIND(" ", D15)+1, FIND(",", D15)-FIND(" ", D15)-1) &amp; "-" &amp; LEFT(D15, FIND(" ", D15)-1) &amp; "-" &amp; RIGHT(D15, 4)), "YYYYMMDD"))</f>
        <v/>
      </c>
      <c r="I15" t="inlineStr">
        <is>
          <t>A*</t>
        </is>
      </c>
    </row>
    <row r="16">
      <c r="A16" t="inlineStr">
        <is>
          <t>ACL 2025 (Association for Computational Linguistics)</t>
        </is>
      </c>
      <c r="B16" t="inlineStr">
        <is>
          <t>https://acl2025.org</t>
        </is>
      </c>
      <c r="C16" t="inlineStr">
        <is>
          <t>Vienna, Austria</t>
        </is>
      </c>
      <c r="D16" s="6" t="inlineStr">
        <is>
          <t>October 1, 2024</t>
        </is>
      </c>
      <c r="E16" s="6" t="inlineStr">
        <is>
          <t>October 15, 2024</t>
        </is>
      </c>
      <c r="F16" t="inlineStr">
        <is>
          <t>July 27, 2025</t>
        </is>
      </c>
      <c r="G16" t="inlineStr">
        <is>
          <t>NLP, CLINLP, AICL</t>
        </is>
      </c>
      <c r="H16" s="3">
        <f>IF(ISERROR(DATEVALUE(MID(D16, FIND(" ", D16)+1, FIND(",", D16)-FIND(" ", D16)-1) &amp; "-" &amp; LEFT(D16, FIND(" ", D16)-1) &amp; "-" &amp; RIGHT(D16, 4))), "20260101", TEXT(DATEVALUE(MID(D16, FIND(" ", D16)+1, FIND(",", D16)-FIND(" ", D16)-1) &amp; "-" &amp; LEFT(D16, FIND(" ", D16)-1) &amp; "-" &amp; RIGHT(D16, 4)), "YYYYMMDD"))</f>
        <v/>
      </c>
      <c r="I16" t="inlineStr">
        <is>
          <t>A*</t>
        </is>
      </c>
    </row>
    <row r="17">
      <c r="A17" t="inlineStr">
        <is>
          <t>AISTATS 2025 (International Conference on Artificial Intelligence and Statistics)</t>
        </is>
      </c>
      <c r="B17" t="inlineStr">
        <is>
          <t>https://aistats.org</t>
        </is>
      </c>
      <c r="C17" t="inlineStr">
        <is>
          <t>Splash Beach Resort, Phuket, Thailand</t>
        </is>
      </c>
      <c r="D17" s="6" t="inlineStr">
        <is>
          <t>October 3, 2024</t>
        </is>
      </c>
      <c r="E17" s="6" t="inlineStr">
        <is>
          <t>October 10, 2024</t>
        </is>
      </c>
      <c r="F17" t="inlineStr">
        <is>
          <t>May 3, 2025</t>
        </is>
      </c>
      <c r="G17" t="inlineStr">
        <is>
          <t>ML, PM, RL, DL, ETF</t>
        </is>
      </c>
      <c r="H17" s="3">
        <f>IF(ISERROR(DATEVALUE(MID(D17, FIND(" ", D17)+1, FIND(",", D17)-FIND(" ", D17)-1) &amp; "-" &amp; LEFT(D17, FIND(" ", D17)-1) &amp; "-" &amp; RIGHT(D17, 4))), "20260101", TEXT(DATEVALUE(MID(D17, FIND(" ", D17)+1, FIND(",", D17)-FIND(" ", D17)-1) &amp; "-" &amp; LEFT(D17, FIND(" ", D17)-1) &amp; "-" &amp; RIGHT(D17, 4)), "YYYYMMDD"))</f>
        <v/>
      </c>
      <c r="I17" t="inlineStr">
        <is>
          <t>A</t>
        </is>
      </c>
    </row>
    <row r="18">
      <c r="A18" t="inlineStr">
        <is>
          <t>AAMAS 2025 (International Conference on Autonomous Agents and Multiagent Systems)</t>
        </is>
      </c>
      <c r="B18" t="inlineStr">
        <is>
          <t>https://www.aamas-conference.org</t>
        </is>
      </c>
      <c r="C18" t="inlineStr">
        <is>
          <t>Detroit, Michigan, USA</t>
        </is>
      </c>
      <c r="D18" s="6" t="inlineStr">
        <is>
          <t>October 9, 2024</t>
        </is>
      </c>
      <c r="E18" s="6" t="inlineStr">
        <is>
          <t>October 16, 2024</t>
        </is>
      </c>
      <c r="F18" t="inlineStr">
        <is>
          <t>May 19, 2025</t>
        </is>
      </c>
      <c r="G18" t="inlineStr">
        <is>
          <t>MAS, HCAI, ETF</t>
        </is>
      </c>
      <c r="H18" s="3">
        <f>IF(ISERROR(DATEVALUE(MID(D18, FIND(" ", D18)+1, FIND(",", D18)-FIND(" ", D18)-1) &amp; "-" &amp; LEFT(D18, FIND(" ", D18)-1) &amp; "-" &amp; RIGHT(D18, 4))), "20260101", TEXT(DATEVALUE(MID(D18, FIND(" ", D18)+1, FIND(",", D18)-FIND(" ", D18)-1) &amp; "-" &amp; LEFT(D18, FIND(" ", D18)-1) &amp; "-" &amp; RIGHT(D18, 4)), "YYYYMMDD"))</f>
        <v/>
      </c>
      <c r="I18" t="inlineStr">
        <is>
          <t>A</t>
        </is>
      </c>
    </row>
    <row r="19">
      <c r="A19" t="inlineStr">
        <is>
          <t>NAACL 2025 - The 2025 Annual Conference of the North American Chapter of the Association for Computational Linguistics</t>
        </is>
      </c>
      <c r="B19" s="2" t="inlineStr">
        <is>
          <t>https://2025.naacl.org/</t>
        </is>
      </c>
      <c r="C19" t="inlineStr">
        <is>
          <t>Albuquerque, New Mexico USA</t>
        </is>
      </c>
      <c r="D19" s="6" t="inlineStr">
        <is>
          <t>October 15, 2024</t>
        </is>
      </c>
      <c r="E19" s="6" t="inlineStr">
        <is>
          <t>April 30, 2025</t>
        </is>
      </c>
      <c r="F19" t="inlineStr">
        <is>
          <t>April 30, 2025</t>
        </is>
      </c>
      <c r="G19" t="inlineStr">
        <is>
          <t>NLP, CL, MT</t>
        </is>
      </c>
      <c r="H19" s="3">
        <f>IF(ISERROR(DATEVALUE(MID(D19, FIND(" ", D19)+1, FIND(",", D19)-FIND(" ", D19)-1) &amp; "-" &amp; LEFT(D19, FIND(" ", D19)-1) &amp; "-" &amp; RIGHT(D19, 4))), "20260101", TEXT(DATEVALUE(MID(D19, FIND(" ", D19)+1, FIND(",", D19)-FIND(" ", D19)-1) &amp; "-" &amp; LEFT(D19, FIND(" ", D19)-1) &amp; "-" &amp; RIGHT(D19, 4)), "YYYYMMDD"))</f>
        <v/>
      </c>
      <c r="I19" t="inlineStr">
        <is>
          <t>A</t>
        </is>
      </c>
    </row>
    <row r="20">
      <c r="A20" t="inlineStr">
        <is>
          <t>IEEE CVPR 2025 (Conference on Computer Vision and Pattern Recognition)</t>
        </is>
      </c>
      <c r="B20" s="2" t="inlineStr">
        <is>
          <t>https://cvpr.thecvf.com/Conferences/2025</t>
        </is>
      </c>
      <c r="C20" t="inlineStr">
        <is>
          <t>Music City Center, Nashville, TN, USA</t>
        </is>
      </c>
      <c r="D20" s="6" t="inlineStr">
        <is>
          <t>November 8, 2024</t>
        </is>
      </c>
      <c r="E20" s="6" t="inlineStr">
        <is>
          <t>November 14, 2024</t>
        </is>
      </c>
      <c r="F20" t="inlineStr">
        <is>
          <t xml:space="preserve"> June 10, 2025</t>
        </is>
      </c>
      <c r="G20" t="inlineStr">
        <is>
          <t>CV, PR, DL, AA</t>
        </is>
      </c>
      <c r="H20" s="3">
        <f>IF(ISERROR(DATEVALUE(MID(D20, FIND(" ", D20)+1, FIND(",", D20)-FIND(" ", D20)-1) &amp; "-" &amp; LEFT(D20, FIND(" ", D20)-1) &amp; "-" &amp; RIGHT(D20, 4))), "20260101", TEXT(DATEVALUE(MID(D20, FIND(" ", D20)+1, FIND(",", D20)-FIND(" ", D20)-1) &amp; "-" &amp; LEFT(D20, FIND(" ", D20)-1) &amp; "-" &amp; RIGHT(D20, 4)), "YYYYMMDD"))</f>
        <v/>
      </c>
      <c r="I20" t="inlineStr">
        <is>
          <t>A*</t>
        </is>
      </c>
    </row>
    <row r="21">
      <c r="A21" t="inlineStr">
        <is>
          <t>BioNLP Workshop (BioNLP)</t>
        </is>
      </c>
      <c r="B21" s="2" t="inlineStr">
        <is>
          <t>https://2025.aclweb.org/program/workshops/</t>
        </is>
      </c>
      <c r="C21" t="inlineStr">
        <is>
          <t>Vienna, Austria (in conjunction with ACL 2025)</t>
        </is>
      </c>
      <c r="D21" s="6" t="inlineStr">
        <is>
          <t>January 01, 2025</t>
        </is>
      </c>
      <c r="E21" s="6" t="inlineStr">
        <is>
          <t>January 01, 2025</t>
        </is>
      </c>
      <c r="F21" t="inlineStr">
        <is>
          <t>July 27, 2025</t>
        </is>
      </c>
      <c r="G21" t="inlineStr">
        <is>
          <t>BioNLP, NLP, BioNER</t>
        </is>
      </c>
      <c r="H21" s="3">
        <f>IF(ISERROR(DATEVALUE(MID(D21, FIND(" ", D21)+1, FIND(",", D21)-FIND(" ", D21)-1) &amp; "-" &amp; LEFT(D21, FIND(" ", D21)-1) &amp; "-" &amp; RIGHT(D21, 4))), "20260101", TEXT(DATEVALUE(MID(D21, FIND(" ", D21)+1, FIND(",", D21)-FIND(" ", D21)-1) &amp; "-" &amp; LEFT(D21, FIND(" ", D21)-1) &amp; "-" &amp; RIGHT(D21, 4)), "YYYYMMDD"))</f>
        <v/>
      </c>
      <c r="I21" t="inlineStr">
        <is>
          <t>Unranked</t>
        </is>
      </c>
    </row>
    <row r="22">
      <c r="A22" t="inlineStr">
        <is>
          <t>CLNLP 2025</t>
        </is>
      </c>
      <c r="B22" t="inlineStr">
        <is>
          <t>https://www.clnlp.org/</t>
        </is>
      </c>
      <c r="C22" t="inlineStr">
        <is>
          <t>Souzhu, China</t>
        </is>
      </c>
      <c r="D22" s="6" t="inlineStr">
        <is>
          <t>January 2, 2025</t>
        </is>
      </c>
      <c r="E22" s="6" t="inlineStr">
        <is>
          <t>January 17, 2025</t>
        </is>
      </c>
      <c r="F22" t="inlineStr">
        <is>
          <t>July 18, 2025</t>
        </is>
      </c>
      <c r="G22" t="inlineStr">
        <is>
          <t>C-NLP, BTM, NLP</t>
        </is>
      </c>
      <c r="H22" s="3">
        <f>IF(ISERROR(DATEVALUE(MID(D22, FIND(" ", D22)+1, FIND(",", D22)-FIND(" ", D22)-1) &amp; "-" &amp; LEFT(D22, FIND(" ", D22)-1) &amp; "-" &amp; RIGHT(D22, 4))), "20260101", TEXT(DATEVALUE(MID(D22, FIND(" ", D22)+1, FIND(",", D22)-FIND(" ", D22)-1) &amp; "-" &amp; LEFT(D22, FIND(" ", D22)-1) &amp; "-" &amp; RIGHT(D22, 4)), "YYYYMMDD"))</f>
        <v/>
      </c>
      <c r="I22" t="inlineStr">
        <is>
          <t>Unranked</t>
        </is>
      </c>
    </row>
    <row r="23">
      <c r="A23" t="inlineStr">
        <is>
          <t>ECAI 2025 (European Conference on Artificial Intelligence)</t>
        </is>
      </c>
      <c r="B23" t="inlineStr">
        <is>
          <t>https://www.ecai2025.org</t>
        </is>
      </c>
      <c r="C23" t="inlineStr">
        <is>
          <t>Bologna, Italy</t>
        </is>
      </c>
      <c r="D23" s="6" t="inlineStr">
        <is>
          <t>January 10, 2025</t>
        </is>
      </c>
      <c r="E23" s="6" t="inlineStr">
        <is>
          <t>February 1, 2025</t>
        </is>
      </c>
      <c r="F23" t="inlineStr">
        <is>
          <t>October 27, 2025</t>
        </is>
      </c>
      <c r="G23" t="inlineStr">
        <is>
          <t>AI, KRR, MAS</t>
        </is>
      </c>
      <c r="H23" s="3">
        <f>IF(ISERROR(DATEVALUE(MID(D23, FIND(" ", D23)+1, FIND(",", D23)-FIND(" ", D23)-1) &amp; "-" &amp; LEFT(D23, FIND(" ", D23)-1) &amp; "-" &amp; RIGHT(D23, 4))), "20260101", TEXT(DATEVALUE(MID(D23, FIND(" ", D23)+1, FIND(",", D23)-FIND(" ", D23)-1) &amp; "-" &amp; LEFT(D23, FIND(" ", D23)-1) &amp; "-" &amp; RIGHT(D23, 4)), "YYYYMMDD"))</f>
        <v/>
      </c>
      <c r="I23" t="inlineStr">
        <is>
          <t>A</t>
        </is>
      </c>
    </row>
    <row r="24">
      <c r="A24" t="inlineStr">
        <is>
          <t>IJCAI-25 (International Joint Conference on Artificial Intelligence 2025)</t>
        </is>
      </c>
      <c r="B24" t="inlineStr">
        <is>
          <t>https://www.ijcai.org</t>
        </is>
      </c>
      <c r="C24" t="inlineStr">
        <is>
          <t>Yokohama, Japan</t>
        </is>
      </c>
      <c r="D24" s="6" t="inlineStr">
        <is>
          <t>January 15, 2025</t>
        </is>
      </c>
      <c r="E24" s="6" t="inlineStr">
        <is>
          <t>February 1, 2025</t>
        </is>
      </c>
      <c r="F24" t="inlineStr">
        <is>
          <t>August 11, 2025</t>
        </is>
      </c>
      <c r="G24" t="inlineStr">
        <is>
          <t>AI, KRR, MAS</t>
        </is>
      </c>
      <c r="H24" s="3">
        <f>IF(ISERROR(DATEVALUE(MID(D24, FIND(" ", D24)+1, FIND(",", D24)-FIND(" ", D24)-1) &amp; "-" &amp; LEFT(D24, FIND(" ", D24)-1) &amp; "-" &amp; RIGHT(D24, 4))), "20260101", TEXT(DATEVALUE(MID(D24, FIND(" ", D24)+1, FIND(",", D24)-FIND(" ", D24)-1) &amp; "-" &amp; LEFT(D24, FIND(" ", D24)-1) &amp; "-" &amp; RIGHT(D24, 4)), "YYYYMMDD"))</f>
        <v/>
      </c>
      <c r="I24" t="inlineStr">
        <is>
          <t>A*</t>
        </is>
      </c>
    </row>
    <row r="25">
      <c r="A25" t="inlineStr">
        <is>
          <t>ACM SIGGRAPH 2025 (Computer Graphics and Interactive Techniques)</t>
        </is>
      </c>
      <c r="B25" t="inlineStr">
        <is>
          <t>https://s2025.siggraph.org</t>
        </is>
      </c>
      <c r="C25" t="inlineStr">
        <is>
          <t>Los Angeles, California, USA</t>
        </is>
      </c>
      <c r="D25" s="6" t="inlineStr">
        <is>
          <t>January 15, 2025</t>
        </is>
      </c>
      <c r="E25" s="6" t="inlineStr">
        <is>
          <t>February 2, 2025</t>
        </is>
      </c>
      <c r="F25" t="inlineStr">
        <is>
          <t>August 3, 2025</t>
        </is>
      </c>
      <c r="G25" t="inlineStr">
        <is>
          <t>CG, VR, AR</t>
        </is>
      </c>
      <c r="H25" s="3">
        <f>IF(ISERROR(DATEVALUE(MID(D25, FIND(" ", D25)+1, FIND(",", D25)-FIND(" ", D25)-1) &amp; "-" &amp; LEFT(D25, FIND(" ", D25)-1) &amp; "-" &amp; RIGHT(D25, 4))), "20260101", TEXT(DATEVALUE(MID(D25, FIND(" ", D25)+1, FIND(",", D25)-FIND(" ", D25)-1) &amp; "-" &amp; LEFT(D25, FIND(" ", D25)-1) &amp; "-" &amp; RIGHT(D25, 4)), "YYYYMMDD"))</f>
        <v/>
      </c>
      <c r="I25" t="inlineStr">
        <is>
          <t>A*</t>
        </is>
      </c>
    </row>
    <row r="26">
      <c r="A26" t="inlineStr">
        <is>
          <t>ACM SIGKDD 2025 (Knowledge Discovery and Data Mining)</t>
        </is>
      </c>
      <c r="B26" t="inlineStr">
        <is>
          <t>https://www.kdd.org</t>
        </is>
      </c>
      <c r="C26" t="inlineStr">
        <is>
          <t>San Francisco, California, USA</t>
        </is>
      </c>
      <c r="D26" s="6" t="inlineStr">
        <is>
          <t>January 17, 2025</t>
        </is>
      </c>
      <c r="E26" s="6" t="inlineStr">
        <is>
          <t>February 3, 2025</t>
        </is>
      </c>
      <c r="F26" t="inlineStr">
        <is>
          <t>August 17, 2025</t>
        </is>
      </c>
      <c r="G26" t="inlineStr">
        <is>
          <t>DM, ML, AI</t>
        </is>
      </c>
      <c r="H26" s="3">
        <f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/>
      </c>
      <c r="I26" t="inlineStr">
        <is>
          <t>A*</t>
        </is>
      </c>
    </row>
    <row r="27">
      <c r="A27" t="inlineStr">
        <is>
          <t>IEEE ISIT 2025 (International Symposium on Information Theory)</t>
        </is>
      </c>
      <c r="B27" t="inlineStr">
        <is>
          <t>https://www.isit2025.org</t>
        </is>
      </c>
      <c r="C27" t="inlineStr">
        <is>
          <t>Stockholm, Sweden</t>
        </is>
      </c>
      <c r="D27" s="6" t="inlineStr">
        <is>
          <t>January 20, 2025</t>
        </is>
      </c>
      <c r="E27" s="6" t="inlineStr">
        <is>
          <t>February 10, 2025</t>
        </is>
      </c>
      <c r="F27" t="inlineStr">
        <is>
          <t>June 22, 2025</t>
        </is>
      </c>
      <c r="G27" t="inlineStr">
        <is>
          <t>IT, SP, RL</t>
        </is>
      </c>
      <c r="H27" s="3">
        <f>IF(ISERROR(DATEVALUE(MID(D27, FIND(" ", D27)+1, FIND(",", D27)-FIND(" ", D27)-1) &amp; "-" &amp; LEFT(D27, FIND(" ", D27)-1) &amp; "-" &amp; RIGHT(D27, 4))), "20260101", TEXT(DATEVALUE(MID(D27, FIND(" ", D27)+1, FIND(",", D27)-FIND(" ", D27)-1) &amp; "-" &amp; LEFT(D27, FIND(" ", D27)-1) &amp; "-" &amp; RIGHT(D27, 4)), "YYYYMMDD"))</f>
        <v/>
      </c>
      <c r="I27" t="inlineStr">
        <is>
          <t>A</t>
        </is>
      </c>
    </row>
    <row r="28">
      <c r="A28" t="inlineStr">
        <is>
          <t>ICML 2025 (International Conference on Machine Learning)</t>
        </is>
      </c>
      <c r="B28" t="inlineStr">
        <is>
          <t>https://icml.cc</t>
        </is>
      </c>
      <c r="C28" t="inlineStr">
        <is>
          <t>Singapore</t>
        </is>
      </c>
      <c r="D28" s="6" t="inlineStr">
        <is>
          <t>February 15, 2025</t>
        </is>
      </c>
      <c r="E28" s="6" t="inlineStr">
        <is>
          <t>March 1, 2025</t>
        </is>
      </c>
      <c r="F28" t="inlineStr">
        <is>
          <t>July 20, 2025</t>
        </is>
      </c>
      <c r="G28" t="inlineStr">
        <is>
          <t>ML, RL, DL</t>
        </is>
      </c>
      <c r="H28" s="3">
        <f>IF(ISERROR(DATEVALUE(MID(D28, FIND(" ", D28)+1, FIND(",", D28)-FIND(" ", D28)-1) &amp; "-" &amp; LEFT(D28, FIND(" ", D28)-1) &amp; "-" &amp; RIGHT(D28, 4))), "20260101", TEXT(DATEVALUE(MID(D28, FIND(" ", D28)+1, FIND(",", D28)-FIND(" ", D28)-1) &amp; "-" &amp; LEFT(D28, FIND(" ", D28)-1) &amp; "-" &amp; RIGHT(D28, 4)), "YYYYMMDD"))</f>
        <v/>
      </c>
      <c r="I28" t="inlineStr">
        <is>
          <t>A*</t>
        </is>
      </c>
    </row>
    <row r="29">
      <c r="A29" t="inlineStr">
        <is>
          <t>ACM SIGIR 2025 (Special Interest Group on Information Retrieval)</t>
        </is>
      </c>
      <c r="B29" t="inlineStr">
        <is>
          <t>https://sigir.org</t>
        </is>
      </c>
      <c r="C29" t="inlineStr">
        <is>
          <t>Padua, Italy</t>
        </is>
      </c>
      <c r="D29" s="6" t="inlineStr">
        <is>
          <t>March 1, 2025</t>
        </is>
      </c>
      <c r="E29" s="6" t="inlineStr">
        <is>
          <t>March 8, 2025</t>
        </is>
      </c>
      <c r="F29" t="inlineStr">
        <is>
          <t>July 13, 2025</t>
        </is>
      </c>
      <c r="G29" t="inlineStr">
        <is>
          <t>IR, NLP, DM</t>
        </is>
      </c>
      <c r="H29" s="3">
        <f>IF(ISERROR(DATEVALUE(MID(D29, FIND(" ", D29)+1, FIND(",", D29)-FIND(" ", D29)-1) &amp; "-" &amp; LEFT(D29, FIND(" ", D29)-1) &amp; "-" &amp; RIGHT(D29, 4))), "20260101", TEXT(DATEVALUE(MID(D29, FIND(" ", D29)+1, FIND(",", D29)-FIND(" ", D29)-1) &amp; "-" &amp; LEFT(D29, FIND(" ", D29)-1) &amp; "-" &amp; RIGHT(D29, 4)), "YYYYMMDD"))</f>
        <v/>
      </c>
      <c r="I29" t="inlineStr">
        <is>
          <t>A*</t>
        </is>
      </c>
    </row>
    <row r="30">
      <c r="A30" t="inlineStr">
        <is>
          <t>IROS 2025 (International Conference on Intelligent Robots and Systems)</t>
        </is>
      </c>
      <c r="B30" s="2" t="inlineStr">
        <is>
          <t>https://irmv.sjtu.edu.cn/iros2025/</t>
        </is>
      </c>
      <c r="C30" t="inlineStr">
        <is>
          <t>Hangzhou, China</t>
        </is>
      </c>
      <c r="D30" s="6" t="inlineStr">
        <is>
          <t>March 1, 2025</t>
        </is>
      </c>
      <c r="E30" s="6" t="inlineStr">
        <is>
          <t>March 8, 2025</t>
        </is>
      </c>
      <c r="F30" t="inlineStr">
        <is>
          <t>October 19, 2025</t>
        </is>
      </c>
      <c r="G30" t="inlineStr">
        <is>
          <t>ROB, AI, CPS</t>
        </is>
      </c>
      <c r="H30" s="3">
        <f>IF(ISERROR(DATEVALUE(MID(D30, FIND(" ", D30)+1, FIND(",", D30)-FIND(" ", D30)-1) &amp; "-" &amp; LEFT(D30, FIND(" ", D30)-1) &amp; "-" &amp; RIGHT(D30, 4))), "20260101", TEXT(DATEVALUE(MID(D30, FIND(" ", D30)+1, FIND(",", D30)-FIND(" ", D30)-1) &amp; "-" &amp; LEFT(D30, FIND(" ", D30)-1) &amp; "-" &amp; RIGHT(D30, 4)), "YYYYMMDD"))</f>
        <v/>
      </c>
      <c r="I30" t="inlineStr">
        <is>
          <t>A</t>
        </is>
      </c>
    </row>
    <row r="31">
      <c r="A31" t="inlineStr">
        <is>
          <t>ACM SIGIR 2025 (Special Interest Group on Information Retrieval)</t>
        </is>
      </c>
      <c r="B31" s="2" t="inlineStr">
        <is>
          <t>https://sigir2025.dei.unipd.it/</t>
        </is>
      </c>
      <c r="C31" t="inlineStr">
        <is>
          <t>Padua, Italy</t>
        </is>
      </c>
      <c r="D31" s="6" t="inlineStr">
        <is>
          <t>March 1, 2025</t>
        </is>
      </c>
      <c r="E31" s="6" t="inlineStr">
        <is>
          <t>March 8, 2025</t>
        </is>
      </c>
      <c r="F31" t="inlineStr">
        <is>
          <t>July 13, 2025</t>
        </is>
      </c>
      <c r="G31" t="inlineStr">
        <is>
          <t>IR, NLP, DM</t>
        </is>
      </c>
      <c r="H31" s="3">
        <f>IF(ISERROR(DATEVALUE(MID(D31, FIND(" ", D31)+1, FIND(",", D31)-FIND(" ", D31)-1) &amp; "-" &amp; LEFT(D31, FIND(" ", D31)-1) &amp; "-" &amp; RIGHT(D31, 4))), "20260101", TEXT(DATEVALUE(MID(D31, FIND(" ", D31)+1, FIND(",", D31)-FIND(" ", D31)-1) &amp; "-" &amp; LEFT(D31, FIND(" ", D31)-1) &amp; "-" &amp; RIGHT(D31, 4)), "YYYYMMDD"))</f>
        <v/>
      </c>
      <c r="I31" t="inlineStr">
        <is>
          <t>A*</t>
        </is>
      </c>
    </row>
    <row r="32">
      <c r="A32" t="inlineStr">
        <is>
          <t>NeurIPS 2025 (Conference on Neural Information Processing Systems)</t>
        </is>
      </c>
      <c r="B32" t="inlineStr">
        <is>
          <t>https://neurips.cc</t>
        </is>
      </c>
      <c r="C32" t="inlineStr">
        <is>
          <t>Vancouver, Canada</t>
        </is>
      </c>
      <c r="D32" s="6" t="inlineStr">
        <is>
          <t>May 15, 2025</t>
        </is>
      </c>
      <c r="E32" s="6" t="inlineStr">
        <is>
          <t>May 25, 2025</t>
        </is>
      </c>
      <c r="F32" t="inlineStr">
        <is>
          <t>December 1, 2025</t>
        </is>
      </c>
      <c r="G32" t="inlineStr">
        <is>
          <t>ML, AI, DL</t>
        </is>
      </c>
      <c r="H32" s="3">
        <f>IF(ISERROR(DATEVALUE(MID(D32, FIND(" ", D32)+1, FIND(",", D32)-FIND(" ", D32)-1) &amp; "-" &amp; LEFT(D32, FIND(" ", D32)-1) &amp; "-" &amp; RIGHT(D32, 4))), "20260101", TEXT(DATEVALUE(MID(D32, FIND(" ", D32)+1, FIND(",", D32)-FIND(" ", D32)-1) &amp; "-" &amp; LEFT(D32, FIND(" ", D32)-1) &amp; "-" &amp; RIGHT(D32, 4)), "YYYYMMDD"))</f>
        <v/>
      </c>
      <c r="I32" t="inlineStr">
        <is>
          <t>A*</t>
        </is>
      </c>
    </row>
    <row r="33">
      <c r="A33" t="inlineStr">
        <is>
          <t>International Conference on Language Resources and Evaluation (ICLRE)</t>
        </is>
      </c>
      <c r="B33" s="2" t="inlineStr">
        <is>
          <t>https://conferenceindex.org/event/international-conference-on-language-resources-and-evaluation-iclre-2025-august-budapest-hu</t>
        </is>
      </c>
      <c r="C33" t="inlineStr">
        <is>
          <t>Budapest, Hungary</t>
        </is>
      </c>
      <c r="D33" s="6" t="inlineStr">
        <is>
          <t>July 01, 2025</t>
        </is>
      </c>
      <c r="E33" s="6" t="inlineStr">
        <is>
          <t>July 22, 2025</t>
        </is>
      </c>
      <c r="F33" t="inlineStr">
        <is>
          <t>August 23, 2025</t>
        </is>
      </c>
      <c r="G33" t="inlineStr">
        <is>
          <t>LR, MI, NLP, MT</t>
        </is>
      </c>
      <c r="H33" s="3">
        <f>IF(ISERROR(DATEVALUE(MID(D33, FIND(" ", D33)+1, FIND(",", D33)-FIND(" ", D33)-1) &amp; "-" &amp; LEFT(D33, FIND(" ", D33)-1) &amp; "-" &amp; RIGHT(D33, 4))), "20260101", TEXT(DATEVALUE(MID(D33, FIND(" ", D33)+1, FIND(",", D33)-FIND(" ", D33)-1) &amp; "-" &amp; LEFT(D33, FIND(" ", D33)-1) &amp; "-" &amp; RIGHT(D33, 4)), "YYYYMMDD"))</f>
        <v/>
      </c>
      <c r="I33" t="inlineStr">
        <is>
          <t>B</t>
        </is>
      </c>
    </row>
    <row r="34">
      <c r="A34" t="inlineStr">
        <is>
          <t>IEEE ICDCS 2025</t>
        </is>
      </c>
      <c r="B34" t="inlineStr">
        <is>
          <t>https://icdcs2025.icdcs.org/</t>
        </is>
      </c>
      <c r="C34" t="inlineStr">
        <is>
          <t>Glasgow, Scotland, UK</t>
        </is>
      </c>
      <c r="D34" s="5" t="n">
        <v>45637</v>
      </c>
      <c r="E34" s="5" t="n">
        <v>45644</v>
      </c>
      <c r="F34" s="5" t="n">
        <v>45858</v>
      </c>
      <c r="G34" t="inlineStr">
        <is>
          <t>DC, SYS</t>
        </is>
      </c>
      <c r="H34" s="3">
        <f>IF(ISERROR(DATEVALUE(MID(D34, FIND(" ", D34)+1, FIND(",", D34)-FIND(" ", D34)-1) &amp; "-" &amp; LEFT(D34, FIND(" ", D34)-1) &amp; "-" &amp; RIGHT(D34, 4))), "20260101", TEXT(DATEVALUE(MID(D34, FIND(" ", D34)+1, FIND(",", D34)-FIND(" ", D34)-1) &amp; "-" &amp; LEFT(D34, FIND(" ", D34)-1) &amp; "-" &amp; RIGHT(D34, 4)), "YYYYMMDD"))</f>
        <v/>
      </c>
      <c r="I34" s="3" t="inlineStr">
        <is>
          <t>A</t>
        </is>
      </c>
    </row>
    <row r="35">
      <c r="A35" t="inlineStr">
        <is>
          <t>ACL 2025</t>
        </is>
      </c>
      <c r="B35" t="inlineStr">
        <is>
          <t>https://2025.aclweb.org/</t>
        </is>
      </c>
      <c r="C35" t="inlineStr">
        <is>
          <t>Vienna, Austria</t>
        </is>
      </c>
      <c r="D35" s="5" t="n">
        <v>45703</v>
      </c>
      <c r="E35" s="5" t="n">
        <v>45703</v>
      </c>
      <c r="F35" s="5" t="n">
        <v>45865</v>
      </c>
      <c r="G35" t="inlineStr">
        <is>
          <t>NLP</t>
        </is>
      </c>
      <c r="H35" s="3">
        <f>IF(ISERROR(DATEVALUE(MID(D35, FIND(" ", D35)+1, FIND(",", D35)-FIND(" ", D35)-1) &amp; "-" &amp; LEFT(D35, FIND(" ", D35)-1) &amp; "-" &amp; RIGHT(D35, 4))), "20260101", TEXT(DATEVALUE(MID(D35, FIND(" ", D35)+1, FIND(",", D35)-FIND(" ", D35)-1) &amp; "-" &amp; LEFT(D35, FIND(" ", D35)-1) &amp; "-" &amp; RIGHT(D35, 4)), "YYYYMMDD"))</f>
        <v/>
      </c>
      <c r="I35" s="3" t="inlineStr">
        <is>
          <t>A*</t>
        </is>
      </c>
    </row>
    <row r="36">
      <c r="A36" t="inlineStr">
        <is>
          <t>ACM KDD 2025</t>
        </is>
      </c>
      <c r="B36" t="inlineStr">
        <is>
          <t>https://kdd2025.kdd.org/</t>
        </is>
      </c>
      <c r="C36" t="inlineStr">
        <is>
          <t>Toronto, Canada</t>
        </is>
      </c>
      <c r="D36" s="5" t="n">
        <v>45691</v>
      </c>
      <c r="E36" s="5" t="n">
        <v>45698</v>
      </c>
      <c r="F36" s="5" t="n">
        <v>45872</v>
      </c>
      <c r="G36" t="inlineStr">
        <is>
          <t>DS, DM, AI</t>
        </is>
      </c>
      <c r="H36" s="3">
        <f>IF(ISERROR(DATEVALUE(MID(D36, FIND(" ", D36)+1, FIND(",", D36)-FIND(" ", D36)-1) &amp; "-" &amp; LEFT(D36, FIND(" ", D36)-1) &amp; "-" &amp; RIGHT(D36, 4))), "20260101", TEXT(DATEVALUE(MID(D36, FIND(" ", D36)+1, FIND(",", D36)-FIND(" ", D36)-1) &amp; "-" &amp; LEFT(D36, FIND(" ", D36)-1) &amp; "-" &amp; RIGHT(D36, 4)), "YYYYMMDD"))</f>
        <v/>
      </c>
      <c r="I36" s="4" t="inlineStr">
        <is>
          <t>A*</t>
        </is>
      </c>
    </row>
    <row r="37">
      <c r="A37" t="inlineStr">
        <is>
          <t>SIGGRAPH 2025</t>
        </is>
      </c>
      <c r="B37" t="inlineStr">
        <is>
          <t>https://s2025.siggraph.org/</t>
        </is>
      </c>
      <c r="C37" t="inlineStr">
        <is>
          <t>Vancouver, Canada</t>
        </is>
      </c>
      <c r="D37" s="5" t="n">
        <v>45673</v>
      </c>
      <c r="E37" s="5" t="n">
        <v>45680</v>
      </c>
      <c r="F37" s="5" t="n">
        <v>45879</v>
      </c>
      <c r="G37" t="inlineStr">
        <is>
          <t>CG</t>
        </is>
      </c>
      <c r="H37" s="3">
        <f>IF(ISERROR(DATEVALUE(MID(D37, FIND(" ", D37)+1, FIND(",", D37)-FIND(" ", D37)-1) &amp; "-" &amp; LEFT(D37, FIND(" ", D37)-1) &amp; "-" &amp; RIGHT(D37, 4))), "20260101", TEXT(DATEVALUE(MID(D37, FIND(" ", D37)+1, FIND(",", D37)-FIND(" ", D37)-1) &amp; "-" &amp; LEFT(D37, FIND(" ", D37)-1) &amp; "-" &amp; RIGHT(D37, 4)), "YYYYMMDD"))</f>
        <v/>
      </c>
      <c r="I37" s="4" t="inlineStr">
        <is>
          <t>A*</t>
        </is>
      </c>
    </row>
    <row r="38">
      <c r="A38" t="inlineStr">
        <is>
          <t>INTERSPEECH 2025</t>
        </is>
      </c>
      <c r="B38" t="inlineStr">
        <is>
          <t>https://www.interspeech2025.org/</t>
        </is>
      </c>
      <c r="C38" t="inlineStr">
        <is>
          <t>Rotterdam, Netherlands</t>
        </is>
      </c>
      <c r="D38" s="5" t="n">
        <v>45700</v>
      </c>
      <c r="E38" s="5" t="n">
        <v>45700</v>
      </c>
      <c r="F38" s="5" t="n">
        <v>45886</v>
      </c>
      <c r="G38" t="inlineStr">
        <is>
          <t>SP</t>
        </is>
      </c>
      <c r="H38" s="3">
        <f>IF(ISERROR(DATEVALUE(MID(D38, FIND(" ", D38)+1, FIND(",", D38)-FIND(" ", D38)-1) &amp; "-" &amp; LEFT(D38, FIND(" ", D38)-1) &amp; "-" &amp; RIGHT(D38, 4))), "20260101", TEXT(DATEVALUE(MID(D38, FIND(" ", D38)+1, FIND(",", D38)-FIND(" ", D38)-1) &amp; "-" &amp; LEFT(D38, FIND(" ", D38)-1) &amp; "-" &amp; RIGHT(D38, 4)), "YYYYMMDD"))</f>
        <v/>
      </c>
      <c r="I38" s="4" t="inlineStr">
        <is>
          <t>A</t>
        </is>
      </c>
    </row>
    <row r="39">
      <c r="A39" t="inlineStr">
        <is>
          <t>ACM SIGCOMM 2025</t>
        </is>
      </c>
      <c r="B39" t="inlineStr">
        <is>
          <t>https://conferences.sigcomm.org/sigcomm/2025/</t>
        </is>
      </c>
      <c r="C39" t="inlineStr">
        <is>
          <t>Coimbra, Portugal</t>
        </is>
      </c>
      <c r="D39" s="5" t="n">
        <v>45681</v>
      </c>
      <c r="E39" s="5" t="n">
        <v>45688</v>
      </c>
      <c r="F39" s="5" t="n">
        <v>45908</v>
      </c>
      <c r="G39" t="inlineStr">
        <is>
          <t>NET</t>
        </is>
      </c>
      <c r="H39" s="3">
        <f>IF(ISERROR(DATEVALUE(MID(D39, FIND(" ", D39)+1, FIND(",", D39)-FIND(" ", D39)-1) &amp; "-" &amp; LEFT(D39, FIND(" ", D39)-1) &amp; "-" &amp; RIGHT(D39, 4))), "20260101", TEXT(DATEVALUE(MID(D39, FIND(" ", D39)+1, FIND(",", D39)-FIND(" ", D39)-1) &amp; "-" &amp; LEFT(D39, FIND(" ", D39)-1) &amp; "-" &amp; RIGHT(D39, 4)), "YYYYMMDD"))</f>
        <v/>
      </c>
      <c r="I39" s="4" t="inlineStr">
        <is>
          <t>A*</t>
        </is>
      </c>
    </row>
    <row r="40">
      <c r="A40" t="inlineStr">
        <is>
          <t>ACM CCS 2025</t>
        </is>
      </c>
      <c r="B40" t="inlineStr">
        <is>
          <t>https://www.sigsac.org/ccs/CCS2025/</t>
        </is>
      </c>
      <c r="C40" t="inlineStr">
        <is>
          <t>Taipei, Taiwan</t>
        </is>
      </c>
      <c r="D40" s="5" t="n">
        <v>45659</v>
      </c>
      <c r="E40" s="5" t="n">
        <v>45666</v>
      </c>
      <c r="F40" s="5" t="n">
        <v>45943</v>
      </c>
      <c r="G40" t="inlineStr">
        <is>
          <t>SEC, CRYPTO</t>
        </is>
      </c>
      <c r="H40" s="3">
        <f>IF(ISERROR(DATEVALUE(MID(D40, FIND(" ", D40)+1, FIND(",", D40)-FIND(" ", D40)-1) &amp; "-" &amp; LEFT(D40, FIND(" ", D40)-1) &amp; "-" &amp; RIGHT(D40, 4))), "20260101", TEXT(DATEVALUE(MID(D40, FIND(" ", D40)+1, FIND(",", D40)-FIND(" ", D40)-1) &amp; "-" &amp; LEFT(D40, FIND(" ", D40)-1) &amp; "-" &amp; RIGHT(D40, 4)), "YYYYMMDD"))</f>
        <v/>
      </c>
      <c r="I40" s="4" t="inlineStr">
        <is>
          <t>A*</t>
        </is>
      </c>
    </row>
    <row r="41">
      <c r="A41" t="inlineStr">
        <is>
          <t>ACM SOSP 2025</t>
        </is>
      </c>
      <c r="B41" t="inlineStr">
        <is>
          <t>https://sigops.org/s/conferences/sosp/2025/</t>
        </is>
      </c>
      <c r="C41" t="inlineStr">
        <is>
          <t>Seoul, South Korea</t>
        </is>
      </c>
      <c r="D41" s="5" t="n">
        <v>45757</v>
      </c>
      <c r="E41" s="5" t="n">
        <v>45764</v>
      </c>
      <c r="F41" s="5" t="n">
        <v>45943</v>
      </c>
      <c r="G41" t="inlineStr">
        <is>
          <t>OS, SYS</t>
        </is>
      </c>
      <c r="H41" s="3">
        <f>IF(ISERROR(DATEVALUE(MID(D41, FIND(" ", D41)+1, FIND(",", D41)-FIND(" ", D41)-1) &amp; "-" &amp; LEFT(D41, FIND(" ", D41)-1) &amp; "-" &amp; RIGHT(D41, 4))), "20260101", TEXT(DATEVALUE(MID(D41, FIND(" ", D41)+1, FIND(",", D41)-FIND(" ", D41)-1) &amp; "-" &amp; LEFT(D41, FIND(" ", D41)-1) &amp; "-" &amp; RIGHT(D41, 4)), "YYYYMMDD"))</f>
        <v/>
      </c>
      <c r="I41" s="4" t="inlineStr">
        <is>
          <t>A*</t>
        </is>
      </c>
    </row>
    <row r="42">
      <c r="A42" t="inlineStr">
        <is>
          <t>ICCV 2025</t>
        </is>
      </c>
      <c r="B42" t="inlineStr">
        <is>
          <t>https://iccv.thecvf.com/Conferences/2025/Dates</t>
        </is>
      </c>
      <c r="C42" t="inlineStr">
        <is>
          <t>Honolulu, Hawaii, USA</t>
        </is>
      </c>
      <c r="D42" s="5" t="n">
        <v>45719</v>
      </c>
      <c r="E42" s="5" t="n">
        <v>45723</v>
      </c>
      <c r="F42" s="5" t="n">
        <v>45949</v>
      </c>
      <c r="G42" t="inlineStr">
        <is>
          <t>CV</t>
        </is>
      </c>
      <c r="H42" s="3">
        <f>IF(ISERROR(DATEVALUE(MID(D42, FIND(" ", D42)+1, FIND(",", D42)-FIND(" ", D42)-1) &amp; "-" &amp; LEFT(D42, FIND(" ", D42)-1) &amp; "-" &amp; RIGHT(D42, 4))), "20260101", TEXT(DATEVALUE(MID(D42, FIND(" ", D42)+1, FIND(",", D42)-FIND(" ", D42)-1) &amp; "-" &amp; LEFT(D42, FIND(" ", D42)-1) &amp; "-" &amp; RIGHT(D42, 4)), "YYYYMMDD"))</f>
        <v/>
      </c>
      <c r="I42" s="4" t="inlineStr">
        <is>
          <t>A*</t>
        </is>
      </c>
    </row>
    <row r="43">
      <c r="A43" t="inlineStr">
        <is>
          <t>IROS 2025</t>
        </is>
      </c>
      <c r="B43" t="inlineStr">
        <is>
          <t>https://www.iros25.org/</t>
        </is>
      </c>
      <c r="C43" t="inlineStr">
        <is>
          <t>Hangzhou, China</t>
        </is>
      </c>
      <c r="D43" s="5" t="n">
        <v>45717</v>
      </c>
      <c r="E43" s="5" t="n">
        <v>45717</v>
      </c>
      <c r="F43" s="5" t="n">
        <v>45949</v>
      </c>
      <c r="G43" t="inlineStr">
        <is>
          <t>ROB, AUTO</t>
        </is>
      </c>
      <c r="H43" s="3">
        <f>IF(ISERROR(DATEVALUE(MID(D43, FIND(" ", D43)+1, FIND(",", D43)-FIND(" ", D43)-1) &amp; "-" &amp; LEFT(D43, FIND(" ", D43)-1) &amp; "-" &amp; RIGHT(D43, 4))), "20260101", TEXT(DATEVALUE(MID(D43, FIND(" ", D43)+1, FIND(",", D43)-FIND(" ", D43)-1) &amp; "-" &amp; LEFT(D43, FIND(" ", D43)-1) &amp; "-" &amp; RIGHT(D43, 4)), "YYYYMMDD"))</f>
        <v/>
      </c>
      <c r="I43" s="4" t="inlineStr">
        <is>
          <t>A</t>
        </is>
      </c>
    </row>
    <row r="44">
      <c r="A44" t="inlineStr">
        <is>
          <t>ACM Multimedia 2025</t>
        </is>
      </c>
      <c r="B44" t="inlineStr">
        <is>
          <t>https://acmmm2025.org/</t>
        </is>
      </c>
      <c r="C44" t="inlineStr">
        <is>
          <t>Dublin, Ireland</t>
        </is>
      </c>
      <c r="D44" s="5" t="n">
        <v>45751</v>
      </c>
      <c r="E44" s="5" t="n">
        <v>45758</v>
      </c>
      <c r="F44" s="5" t="n">
        <v>45957</v>
      </c>
      <c r="G44" t="inlineStr">
        <is>
          <t>MM</t>
        </is>
      </c>
      <c r="H44" s="3">
        <f>IF(ISERROR(DATEVALUE(MID(D44, FIND(" ", D44)+1, FIND(",", D44)-FIND(" ", D44)-1) &amp; "-" &amp; LEFT(D44, FIND(" ", D44)-1) &amp; "-" &amp; RIGHT(D44, 4))), "20260101", TEXT(DATEVALUE(MID(D44, FIND(" ", D44)+1, FIND(",", D44)-FIND(" ", D44)-1) &amp; "-" &amp; LEFT(D44, FIND(" ", D44)-1) &amp; "-" &amp; RIGHT(D44, 4)), "YYYYMMDD"))</f>
        <v/>
      </c>
      <c r="I44" s="4" t="inlineStr">
        <is>
          <t>A*</t>
        </is>
      </c>
    </row>
    <row r="45">
      <c r="A45" t="inlineStr">
        <is>
          <t>IEEE VIS 2025</t>
        </is>
      </c>
      <c r="B45" t="inlineStr">
        <is>
          <t>https://ieeevis.org/</t>
        </is>
      </c>
      <c r="C45" t="inlineStr">
        <is>
          <t>Vienna, Austria</t>
        </is>
      </c>
      <c r="D45" s="5" t="n">
        <v>45737</v>
      </c>
      <c r="E45" s="5" t="n">
        <v>45747</v>
      </c>
      <c r="F45" s="5" t="n">
        <v>45963</v>
      </c>
      <c r="G45" t="inlineStr">
        <is>
          <t>VIS, VA</t>
        </is>
      </c>
      <c r="H45" s="3">
        <f>IF(ISERROR(DATEVALUE(MID(D45, FIND(" ", D45)+1, FIND(",", D45)-FIND(" ", D45)-1) &amp; "-" &amp; LEFT(D45, FIND(" ", D45)-1) &amp; "-" &amp; RIGHT(D45, 4))), "20260101", TEXT(DATEVALUE(MID(D45, FIND(" ", D45)+1, FIND(",", D45)-FIND(" ", D45)-1) &amp; "-" &amp; LEFT(D45, FIND(" ", D45)-1) &amp; "-" &amp; RIGHT(D45, 4)), "YYYYMMDD"))</f>
        <v/>
      </c>
      <c r="I45" s="4" t="inlineStr">
        <is>
          <t>A</t>
        </is>
      </c>
    </row>
    <row r="46">
      <c r="A46" t="inlineStr">
        <is>
          <t>EMNLP 2025</t>
        </is>
      </c>
      <c r="B46" t="inlineStr">
        <is>
          <t>https://2025.emnlp.org/</t>
        </is>
      </c>
      <c r="C46" t="inlineStr">
        <is>
          <t>Suzhou, China</t>
        </is>
      </c>
      <c r="D46" s="5" t="n">
        <v>45796</v>
      </c>
      <c r="E46" s="5" t="n">
        <v>45796</v>
      </c>
      <c r="F46" s="5" t="n">
        <v>45966</v>
      </c>
      <c r="G46" t="inlineStr">
        <is>
          <t>NLP</t>
        </is>
      </c>
      <c r="H46" s="3">
        <f>IF(ISERROR(DATEVALUE(MID(D46, FIND(" ", D46)+1, FIND(",", D46)-FIND(" ", D46)-1) &amp; "-" &amp; LEFT(D46, FIND(" ", D46)-1) &amp; "-" &amp; RIGHT(D46, 4))), "20260101", TEXT(DATEVALUE(MID(D46, FIND(" ", D46)+1, FIND(",", D46)-FIND(" ", D46)-1) &amp; "-" &amp; LEFT(D46, FIND(" ", D46)-1) &amp; "-" &amp; RIGHT(D46, 4)), "YYYYMMDD"))</f>
        <v/>
      </c>
      <c r="I46" s="4" t="inlineStr">
        <is>
          <t>A</t>
        </is>
      </c>
    </row>
    <row r="47">
      <c r="A47" t="inlineStr">
        <is>
          <t>IEEE ICDM 2025</t>
        </is>
      </c>
      <c r="B47" t="inlineStr">
        <is>
          <t>https://www3.cs.stonybrook.edu/~icdm2025/index.html</t>
        </is>
      </c>
      <c r="C47" t="inlineStr">
        <is>
          <t>Washington, DC, USA</t>
        </is>
      </c>
      <c r="D47" s="5" t="n">
        <v>45814</v>
      </c>
      <c r="E47" s="5" t="n">
        <v>45814</v>
      </c>
      <c r="F47" s="5" t="n">
        <v>45973</v>
      </c>
      <c r="G47" t="inlineStr">
        <is>
          <t>DM</t>
        </is>
      </c>
      <c r="H47" s="3">
        <f>IF(ISERROR(DATEVALUE(MID(D47, FIND(" ", D47)+1, FIND(",", D47)-FIND(" ", D47)-1) &amp; "-" &amp; LEFT(D47, FIND(" ", D47)-1) &amp; "-" &amp; RIGHT(D47, 4))), "20260101", TEXT(DATEVALUE(MID(D47, FIND(" ", D47)+1, FIND(",", D47)-FIND(" ", D47)-1) &amp; "-" &amp; LEFT(D47, FIND(" ", D47)-1) &amp; "-" &amp; RIGHT(D47, 4)), "YYYYMMDD"))</f>
        <v/>
      </c>
      <c r="I47" s="4" t="inlineStr">
        <is>
          <t>A</t>
        </is>
      </c>
    </row>
    <row r="48">
      <c r="A48" t="inlineStr">
        <is>
          <t>SC 2025</t>
        </is>
      </c>
      <c r="B48" t="inlineStr">
        <is>
          <t>https://sc25.supercomputing.org/</t>
        </is>
      </c>
      <c r="C48" t="inlineStr">
        <is>
          <t>St. Louis, Missouri, USA</t>
        </is>
      </c>
      <c r="D48" s="5" t="n">
        <v>45754</v>
      </c>
      <c r="E48" s="5" t="n">
        <v>45761</v>
      </c>
      <c r="F48" s="5" t="n">
        <v>45977</v>
      </c>
      <c r="G48" t="inlineStr">
        <is>
          <t>HPC</t>
        </is>
      </c>
      <c r="H48" s="3">
        <f>IF(ISERROR(DATEVALUE(MID(D48, FIND(" ", D48)+1, FIND(",", D48)-FIND(" ", D48)-1) &amp; "-" &amp; LEFT(D48, FIND(" ", D48)-1) &amp; "-" &amp; RIGHT(D48, 4))), "20260101", TEXT(DATEVALUE(MID(D48, FIND(" ", D48)+1, FIND(",", D48)-FIND(" ", D48)-1) &amp; "-" &amp; LEFT(D48, FIND(" ", D48)-1) &amp; "-" &amp; RIGHT(D48, 4)), "YYYYMMDD"))</f>
        <v/>
      </c>
      <c r="I48" s="4" t="inlineStr">
        <is>
          <t>A</t>
        </is>
      </c>
    </row>
    <row r="49">
      <c r="A49" t="inlineStr">
        <is>
          <t>NeurIPS 2025</t>
        </is>
      </c>
      <c r="B49" t="inlineStr">
        <is>
          <t>https://neurips.cc/Conferences/2025</t>
        </is>
      </c>
      <c r="C49" t="inlineStr">
        <is>
          <t>San Diego, California, USA</t>
        </is>
      </c>
      <c r="D49" s="5" t="n">
        <v>45788</v>
      </c>
      <c r="E49" s="5" t="n">
        <v>45792</v>
      </c>
      <c r="F49" s="5" t="n">
        <v>45993</v>
      </c>
      <c r="G49" t="inlineStr">
        <is>
          <t>ML, AI</t>
        </is>
      </c>
      <c r="H49" s="3">
        <f>IF(ISERROR(DATEVALUE(MID(D49, FIND(" ", D49)+1, FIND(",", D49)-FIND(" ", D49)-1) &amp; "-" &amp; LEFT(D49, FIND(" ", D49)-1) &amp; "-" &amp; RIGHT(D49, 4))), "20260101", TEXT(DATEVALUE(MID(D49, FIND(" ", D49)+1, FIND(",", D49)-FIND(" ", D49)-1) &amp; "-" &amp; LEFT(D49, FIND(" ", D49)-1) &amp; "-" &amp; RIGHT(D49, 4)), "YYYYMMDD"))</f>
        <v/>
      </c>
      <c r="I49" s="4" t="inlineStr">
        <is>
          <t>A*</t>
        </is>
      </c>
    </row>
    <row r="50">
      <c r="A50" t="inlineStr">
        <is>
          <t>IEEE BigData 2025</t>
        </is>
      </c>
      <c r="B50" t="inlineStr">
        <is>
          <t>http://bigdataieee.org/BigData2025/</t>
        </is>
      </c>
      <c r="C50" t="inlineStr">
        <is>
          <t>Macau, China</t>
        </is>
      </c>
      <c r="D50" s="5" t="n">
        <v>45900</v>
      </c>
      <c r="E50" s="5" t="n">
        <v>45900</v>
      </c>
      <c r="F50" s="5" t="n">
        <v>45999</v>
      </c>
      <c r="G50" t="inlineStr">
        <is>
          <t>BD, DE</t>
        </is>
      </c>
      <c r="H50" s="3">
        <f>IF(ISERROR(DATEVALUE(MID(D50, FIND(" ", D50)+1, FIND(",", D50)-FIND(" ", D50)-1) &amp; "-" &amp; LEFT(D50, FIND(" ", D50)-1) &amp; "-" &amp; RIGHT(D50, 4))), "20260101", TEXT(DATEVALUE(MID(D50, FIND(" ", D50)+1, FIND(",", D50)-FIND(" ", D50)-1) &amp; "-" &amp; LEFT(D50, FIND(" ", D50)-1) &amp; "-" &amp; RIGHT(D50, 4)), "YYYYMMDD"))</f>
        <v/>
      </c>
      <c r="I50" s="4" t="inlineStr">
        <is>
          <t>A</t>
        </is>
      </c>
    </row>
    <row r="51">
      <c r="A51" t="inlineStr">
        <is>
          <t>IEEE BIBM 2025</t>
        </is>
      </c>
      <c r="B51" t="inlineStr">
        <is>
          <t>https://ieeebibm.org/</t>
        </is>
      </c>
      <c r="C51" t="inlineStr">
        <is>
          <t>Wuhan, China</t>
        </is>
      </c>
      <c r="D51" s="5" t="n">
        <v>45872</v>
      </c>
      <c r="E51" s="5" t="n">
        <v>45872</v>
      </c>
      <c r="F51" s="5" t="n">
        <v>46006</v>
      </c>
      <c r="G51" t="inlineStr">
        <is>
          <t>Bioinformatics, Big Data, Health Informatics</t>
        </is>
      </c>
      <c r="H51" s="3">
        <f>IF(ISERROR(DATEVALUE(MID(D51, FIND(" ", D51)+1, FIND(",", D51)-FIND(" ", D51)-1) &amp; "-" &amp; LEFT(D51, FIND(" ", D51)-1) &amp; "-" &amp; RIGHT(D51, 4))), "20260101", TEXT(DATEVALUE(MID(D51, FIND(" ", D51)+1, FIND(",", D51)-FIND(" ", D51)-1) &amp; "-" &amp; LEFT(D51, FIND(" ", D51)-1) &amp; "-" &amp; RIGHT(D51, 4)), "YYYYMMDD"))</f>
        <v/>
      </c>
      <c r="I51" s="4" t="inlineStr">
        <is>
          <t>B</t>
        </is>
      </c>
    </row>
    <row r="52">
      <c r="A52" t="inlineStr">
        <is>
          <t>The Web Conference 2025</t>
        </is>
      </c>
      <c r="B52" t="inlineStr">
        <is>
          <t>https://www2025.thewebconf.org/</t>
        </is>
      </c>
      <c r="C52" t="inlineStr">
        <is>
          <t>Sydney, Australia</t>
        </is>
      </c>
      <c r="D52" s="5" t="n">
        <v>45572</v>
      </c>
      <c r="E52" s="5" t="n">
        <v>45579</v>
      </c>
      <c r="F52" s="5" t="n">
        <v>45775</v>
      </c>
      <c r="G52" t="inlineStr">
        <is>
          <t>Web / Internet Technologies, Social Computing, Web Economics</t>
        </is>
      </c>
      <c r="H52" s="3">
        <f>IF(ISERROR(DATEVALUE(MID(D52, FIND(" ", D52)+1, FIND(",", D52)-FIND(" ", D52)-1) &amp; "-" &amp; LEFT(D52, FIND(" ", D52)-1) &amp; "-" &amp; RIGHT(D52, 4))), "20260101", TEXT(DATEVALUE(MID(D52, FIND(" ", D52)+1, FIND(",", D52)-FIND(" ", D52)-1) &amp; "-" &amp; LEFT(D52, FIND(" ", D52)-1) &amp; "-" &amp; RIGHT(D52, 4)), "YYYYMMDD"))</f>
        <v/>
      </c>
      <c r="I52" t="inlineStr">
        <is>
          <t>A*</t>
        </is>
      </c>
    </row>
    <row r="53">
      <c r="A53" t="inlineStr">
        <is>
          <t>AAAI</t>
        </is>
      </c>
      <c r="B53" t="inlineStr">
        <is>
          <t>https://aaai.org/conference/aaai/aaai-26/</t>
        </is>
      </c>
      <c r="C53" t="inlineStr">
        <is>
          <t>Singapore</t>
        </is>
      </c>
      <c r="D53" s="5" t="n">
        <v>45863</v>
      </c>
      <c r="E53" s="5" t="n">
        <v>45870</v>
      </c>
      <c r="F53" s="5" t="n">
        <v>46042</v>
      </c>
      <c r="G53" t="inlineStr">
        <is>
          <t>Artificial Intelligence</t>
        </is>
      </c>
      <c r="H53" s="3">
        <f>IF(ISERROR(DATEVALUE(MID(D53, FIND(" ", D53)+1, FIND(",", D53)-FIND(" ", D53)-1) &amp; "-" &amp; LEFT(D53, FIND(" ", D53)-1) &amp; "-" &amp; RIGHT(D53, 4))), "20260101", TEXT(DATEVALUE(MID(D53, FIND(" ", D53)+1, FIND(",", D53)-FIND(" ", D53)-1) &amp; "-" &amp; LEFT(D53, FIND(" ", D53)-1) &amp; "-" &amp; RIGHT(D53, 4)), "YYYYMMDD"))</f>
        <v/>
      </c>
      <c r="I53" t="inlineStr">
        <is>
          <t>A*</t>
        </is>
      </c>
    </row>
    <row r="54">
      <c r="A54" t="inlineStr">
        <is>
          <t>AAMAS</t>
        </is>
      </c>
      <c r="B54" t="inlineStr">
        <is>
          <t>https://aamas2025.org/</t>
        </is>
      </c>
      <c r="C54" t="inlineStr">
        <is>
          <t>Detroit, MI, USA</t>
        </is>
      </c>
      <c r="D54" s="5" t="n">
        <v>45574</v>
      </c>
      <c r="E54" s="5" t="n">
        <v>45581</v>
      </c>
      <c r="F54" s="5" t="n">
        <v>45796</v>
      </c>
      <c r="G54" t="inlineStr">
        <is>
          <t>Autonomous Agents; Multiagent Systems</t>
        </is>
      </c>
      <c r="H54" s="3">
        <f>IF(ISERROR(DATEVALUE(MID(D54, FIND(" ", D54)+1, FIND(",", D54)-FIND(" ", D54)-1) &amp; "-" &amp; LEFT(D54, FIND(" ", D54)-1) &amp; "-" &amp; RIGHT(D54, 4))), "20260101", TEXT(DATEVALUE(MID(D54, FIND(" ", D54)+1, FIND(",", D54)-FIND(" ", D54)-1) &amp; "-" &amp; LEFT(D54, FIND(" ", D54)-1) &amp; "-" &amp; RIGHT(D54, 4)), "YYYYMMDD"))</f>
        <v/>
      </c>
      <c r="I54" t="inlineStr">
        <is>
          <t>A*</t>
        </is>
      </c>
    </row>
    <row r="55">
      <c r="A55" t="inlineStr">
        <is>
          <t>ACL</t>
        </is>
      </c>
      <c r="B55" t="inlineStr">
        <is>
          <t>https://2025.aclweb.org/</t>
        </is>
      </c>
      <c r="C55" t="inlineStr">
        <is>
          <t>Vienna, Austria</t>
        </is>
      </c>
      <c r="D55" s="5" t="n">
        <v>45703</v>
      </c>
      <c r="E55" s="5" t="n">
        <v>45703</v>
      </c>
      <c r="F55" s="5" t="n">
        <v>45865</v>
      </c>
      <c r="G55" t="inlineStr">
        <is>
          <t>Natural Language Processing</t>
        </is>
      </c>
      <c r="H55" s="3">
        <f>IF(ISERROR(DATEVALUE(MID(D55, FIND(" ", D55)+1, FIND(",", D55)-FIND(" ", D55)-1) &amp; "-" &amp; LEFT(D55, FIND(" ", D55)-1) &amp; "-" &amp; RIGHT(D55, 4))), "20260101", TEXT(DATEVALUE(MID(D55, FIND(" ", D55)+1, FIND(",", D55)-FIND(" ", D55)-1) &amp; "-" &amp; LEFT(D55, FIND(" ", D55)-1) &amp; "-" &amp; RIGHT(D55, 4)), "YYYYMMDD"))</f>
        <v/>
      </c>
      <c r="I55" t="inlineStr">
        <is>
          <t>A*</t>
        </is>
      </c>
    </row>
    <row r="56">
      <c r="A56" t="inlineStr">
        <is>
          <t>ACMMM</t>
        </is>
      </c>
      <c r="B56" t="inlineStr">
        <is>
          <t>https://acmmm2025.org/</t>
        </is>
      </c>
      <c r="C56" t="inlineStr">
        <is>
          <t>Dublin, Ireland</t>
        </is>
      </c>
      <c r="D56" s="5" t="n">
        <v>45751</v>
      </c>
      <c r="E56" s="5" t="n">
        <v>45758</v>
      </c>
      <c r="F56" s="5" t="n">
        <v>45957</v>
      </c>
      <c r="G56" t="inlineStr">
        <is>
          <t>Multimedia Computing</t>
        </is>
      </c>
      <c r="H56" s="3">
        <f>IF(ISERROR(DATEVALUE(MID(D56, FIND(" ", D56)+1, FIND(",", D56)-FIND(" ", D56)-1) &amp; "-" &amp; LEFT(D56, FIND(" ", D56)-1) &amp; "-" &amp; RIGHT(D56, 4))), "20260101", TEXT(DATEVALUE(MID(D56, FIND(" ", D56)+1, FIND(",", D56)-FIND(" ", D56)-1) &amp; "-" &amp; LEFT(D56, FIND(" ", D56)-1) &amp; "-" &amp; RIGHT(D56, 4)), "YYYYMMDD"))</f>
        <v/>
      </c>
      <c r="I56" t="inlineStr">
        <is>
          <t>A*</t>
        </is>
      </c>
    </row>
    <row r="57">
      <c r="A57" t="inlineStr">
        <is>
          <t>ASPLOS</t>
        </is>
      </c>
      <c r="B57" t="inlineStr">
        <is>
          <t>https://www.asplos-conference.org/asplos2025/</t>
        </is>
      </c>
      <c r="C57" t="inlineStr">
        <is>
          <t>Rotterdam, The Netherlands</t>
        </is>
      </c>
      <c r="D57" s="5" t="n">
        <v>45576</v>
      </c>
      <c r="E57" s="5" t="n">
        <v>45583</v>
      </c>
      <c r="F57" s="5" t="n">
        <v>45746</v>
      </c>
      <c r="G57" t="inlineStr">
        <is>
          <t>Computer Architecture; Programming Languages; Operating Systems</t>
        </is>
      </c>
      <c r="H57" s="3">
        <f>IF(ISERROR(DATEVALUE(MID(D57, FIND(" ", D57)+1, FIND(",", D57)-FIND(" ", D57)-1) &amp; "-" &amp; LEFT(D57, FIND(" ", D57)-1) &amp; "-" &amp; RIGHT(D57, 4))), "20260101", TEXT(DATEVALUE(MID(D57, FIND(" ", D57)+1, FIND(",", D57)-FIND(" ", D57)-1) &amp; "-" &amp; LEFT(D57, FIND(" ", D57)-1) &amp; "-" &amp; RIGHT(D57, 4)), "YYYYMMDD"))</f>
        <v/>
      </c>
      <c r="I57" t="inlineStr">
        <is>
          <t>A*</t>
        </is>
      </c>
    </row>
    <row r="58">
      <c r="A58" t="inlineStr">
        <is>
          <t>CAV</t>
        </is>
      </c>
      <c r="B58" t="inlineStr">
        <is>
          <t>https://conferences.i-cav.org/2025/</t>
        </is>
      </c>
      <c r="C58" t="inlineStr">
        <is>
          <t>Zagreb, Croatia</t>
        </is>
      </c>
      <c r="D58" s="5" t="n">
        <v>45688</v>
      </c>
      <c r="E58" s="5" t="n">
        <v>45688</v>
      </c>
      <c r="F58" s="5" t="n">
        <v>45861</v>
      </c>
      <c r="G58" t="inlineStr">
        <is>
          <t>Formal Methods; Verification</t>
        </is>
      </c>
      <c r="H58" s="3">
        <f>IF(ISERROR(DATEVALUE(MID(D58, FIND(" ", D58)+1, FIND(",", D58)-FIND(" ", D58)-1) &amp; "-" &amp; LEFT(D58, FIND(" ", D58)-1) &amp; "-" &amp; RIGHT(D58, 4))), "20260101", TEXT(DATEVALUE(MID(D58, FIND(" ", D58)+1, FIND(",", D58)-FIND(" ", D58)-1) &amp; "-" &amp; LEFT(D58, FIND(" ", D58)-1) &amp; "-" &amp; RIGHT(D58, 4)), "YYYYMMDD"))</f>
        <v/>
      </c>
      <c r="I58" t="inlineStr">
        <is>
          <t>A*</t>
        </is>
      </c>
    </row>
    <row r="59">
      <c r="A59" t="inlineStr">
        <is>
          <t>CCS</t>
        </is>
      </c>
      <c r="B59" t="inlineStr">
        <is>
          <t>https://www.sigsac.org/ccs/CCS2025/</t>
        </is>
      </c>
      <c r="C59" t="inlineStr">
        <is>
          <t>Taipei, Taiwan</t>
        </is>
      </c>
      <c r="D59" s="5" t="n">
        <v>45659</v>
      </c>
      <c r="E59" s="5" t="n">
        <v>45666</v>
      </c>
      <c r="F59" s="5" t="n">
        <v>45943</v>
      </c>
      <c r="G59" t="inlineStr">
        <is>
          <t>Computer Security; Cryptography</t>
        </is>
      </c>
      <c r="H59" s="3">
        <f>IF(ISERROR(DATEVALUE(MID(D59, FIND(" ", D59)+1, FIND(",", D59)-FIND(" ", D59)-1) &amp; "-" &amp; LEFT(D59, FIND(" ", D59)-1) &amp; "-" &amp; RIGHT(D59, 4))), "20260101", TEXT(DATEVALUE(MID(D59, FIND(" ", D59)+1, FIND(",", D59)-FIND(" ", D59)-1) &amp; "-" &amp; LEFT(D59, FIND(" ", D59)-1) &amp; "-" &amp; RIGHT(D59, 4)), "YYYYMMDD"))</f>
        <v/>
      </c>
      <c r="I59" t="inlineStr">
        <is>
          <t>A*</t>
        </is>
      </c>
    </row>
    <row r="60">
      <c r="A60" t="inlineStr">
        <is>
          <t>CHI</t>
        </is>
      </c>
      <c r="B60" t="inlineStr">
        <is>
          <t>https://chi2025.acm.org/</t>
        </is>
      </c>
      <c r="C60" t="inlineStr">
        <is>
          <t>Yokohama, Japan</t>
        </is>
      </c>
      <c r="D60" s="5" t="n">
        <v>45540</v>
      </c>
      <c r="E60" s="5" t="n">
        <v>45547</v>
      </c>
      <c r="F60" s="5" t="n">
        <v>45773</v>
      </c>
      <c r="G60" t="inlineStr">
        <is>
          <t>Human–Computer Interaction</t>
        </is>
      </c>
      <c r="H60" s="3">
        <f>IF(ISERROR(DATEVALUE(MID(D60, FIND(" ", D60)+1, FIND(",", D60)-FIND(" ", D60)-1) &amp; "-" &amp; LEFT(D60, FIND(" ", D60)-1) &amp; "-" &amp; RIGHT(D60, 4))), "20260101", TEXT(DATEVALUE(MID(D60, FIND(" ", D60)+1, FIND(",", D60)-FIND(" ", D60)-1) &amp; "-" &amp; LEFT(D60, FIND(" ", D60)-1) &amp; "-" &amp; RIGHT(D60, 4)), "YYYYMMDD"))</f>
        <v/>
      </c>
      <c r="I60" t="inlineStr">
        <is>
          <t>A*</t>
        </is>
      </c>
    </row>
    <row r="61">
      <c r="A61" t="inlineStr">
        <is>
          <t>COLT</t>
        </is>
      </c>
      <c r="B61" t="inlineStr">
        <is>
          <t>https://learningtheory.org/colt2025/</t>
        </is>
      </c>
      <c r="C61" t="inlineStr">
        <is>
          <t>Lyon, France</t>
        </is>
      </c>
      <c r="D61" s="5" t="n">
        <v>45694</v>
      </c>
      <c r="E61" s="5" t="n">
        <v>45694</v>
      </c>
      <c r="F61" s="5" t="n">
        <v>45838</v>
      </c>
      <c r="G61" t="inlineStr">
        <is>
          <t>Machine Learning; Theory</t>
        </is>
      </c>
      <c r="H61" s="3">
        <f>IF(ISERROR(DATEVALUE(MID(D61, FIND(" ", D61)+1, FIND(",", D61)-FIND(" ", D61)-1) &amp; "-" &amp; LEFT(D61, FIND(" ", D61)-1) &amp; "-" &amp; RIGHT(D61, 4))), "20260101", TEXT(DATEVALUE(MID(D61, FIND(" ", D61)+1, FIND(",", D61)-FIND(" ", D61)-1) &amp; "-" &amp; LEFT(D61, FIND(" ", D61)-1) &amp; "-" &amp; RIGHT(D61, 4)), "YYYYMMDD"))</f>
        <v/>
      </c>
      <c r="I61" t="inlineStr">
        <is>
          <t>A*</t>
        </is>
      </c>
    </row>
    <row r="62">
      <c r="A62" t="inlineStr">
        <is>
          <t>CRYPTO</t>
        </is>
      </c>
      <c r="B62" t="inlineStr">
        <is>
          <t>https://crypto.iacr.org/2025/</t>
        </is>
      </c>
      <c r="C62" t="inlineStr">
        <is>
          <t>Santa Barbara, CA, USA</t>
        </is>
      </c>
      <c r="D62" s="5" t="n">
        <v>45701</v>
      </c>
      <c r="E62" s="5" t="n">
        <v>45701</v>
      </c>
      <c r="F62" s="5" t="n">
        <v>45886</v>
      </c>
      <c r="G62" t="inlineStr">
        <is>
          <t>Cryptography</t>
        </is>
      </c>
      <c r="H62" s="3">
        <f>IF(ISERROR(DATEVALUE(MID(D62, FIND(" ", D62)+1, FIND(",", D62)-FIND(" ", D62)-1) &amp; "-" &amp; LEFT(D62, FIND(" ", D62)-1) &amp; "-" &amp; RIGHT(D62, 4))), "20260101", TEXT(DATEVALUE(MID(D62, FIND(" ", D62)+1, FIND(",", D62)-FIND(" ", D62)-1) &amp; "-" &amp; LEFT(D62, FIND(" ", D62)-1) &amp; "-" &amp; RIGHT(D62, 4)), "YYYYMMDD"))</f>
        <v/>
      </c>
      <c r="I62" t="inlineStr">
        <is>
          <t>A*</t>
        </is>
      </c>
    </row>
    <row r="63">
      <c r="A63" t="inlineStr">
        <is>
          <t>CSCL</t>
        </is>
      </c>
      <c r="B63" t="inlineStr">
        <is>
          <t>https://2025.isls.org/</t>
        </is>
      </c>
      <c r="C63" t="inlineStr">
        <is>
          <t>Helsinki, Finland</t>
        </is>
      </c>
      <c r="D63" s="5" t="n">
        <v>45623</v>
      </c>
      <c r="E63" s="5" t="n">
        <v>45623</v>
      </c>
      <c r="F63" s="5" t="n">
        <v>45818</v>
      </c>
      <c r="G63" t="inlineStr">
        <is>
          <t>Computer-Supported Collaborative Learning</t>
        </is>
      </c>
      <c r="H63" s="3">
        <f>IF(ISERROR(DATEVALUE(MID(D63, FIND(" ", D63)+1, FIND(",", D63)-FIND(" ", D63)-1) &amp; "-" &amp; LEFT(D63, FIND(" ", D63)-1) &amp; "-" &amp; RIGHT(D63, 4))), "20260101", TEXT(DATEVALUE(MID(D63, FIND(" ", D63)+1, FIND(",", D63)-FIND(" ", D63)-1) &amp; "-" &amp; LEFT(D63, FIND(" ", D63)-1) &amp; "-" &amp; RIGHT(D63, 4)), "YYYYMMDD"))</f>
        <v/>
      </c>
      <c r="I63" t="inlineStr">
        <is>
          <t>A*</t>
        </is>
      </c>
    </row>
    <row r="64">
      <c r="A64" t="inlineStr">
        <is>
          <t>DCC</t>
        </is>
      </c>
      <c r="B64" t="inlineStr">
        <is>
          <t>https://datacompressionconference.org/</t>
        </is>
      </c>
      <c r="C64" t="inlineStr">
        <is>
          <t>Snowbird, Utah, USA</t>
        </is>
      </c>
      <c r="D64" s="5" t="n">
        <v>45569</v>
      </c>
      <c r="E64" s="5" t="n">
        <v>45569</v>
      </c>
      <c r="F64" s="5" t="n">
        <v>45735</v>
      </c>
      <c r="G64" t="inlineStr">
        <is>
          <t>Data Compression; Signal Processing</t>
        </is>
      </c>
      <c r="H64" s="3">
        <f>IF(ISERROR(DATEVALUE(MID(D64, FIND(" ", D64)+1, FIND(",", D64)-FIND(" ", D64)-1) &amp; "-" &amp; LEFT(D64, FIND(" ", D64)-1) &amp; "-" &amp; RIGHT(D64, 4))), "20260101", TEXT(DATEVALUE(MID(D64, FIND(" ", D64)+1, FIND(",", D64)-FIND(" ", D64)-1) &amp; "-" &amp; LEFT(D64, FIND(" ", D64)-1) &amp; "-" &amp; RIGHT(D64, 4)), "YYYYMMDD"))</f>
        <v/>
      </c>
      <c r="I64" t="inlineStr">
        <is>
          <t>A*</t>
        </is>
      </c>
    </row>
    <row r="65">
      <c r="A65" t="inlineStr">
        <is>
          <t>DSN</t>
        </is>
      </c>
      <c r="B65" t="inlineStr">
        <is>
          <t>https://dsn2025.github.io/</t>
        </is>
      </c>
      <c r="C65" t="inlineStr">
        <is>
          <t>Naples, Italy</t>
        </is>
      </c>
      <c r="D65" s="5" t="n">
        <v>45623</v>
      </c>
      <c r="E65" s="5" t="n">
        <v>45630</v>
      </c>
      <c r="F65" s="5" t="n">
        <v>45831</v>
      </c>
      <c r="G65" t="inlineStr">
        <is>
          <t>Dependable Systems; Reliable Networks</t>
        </is>
      </c>
      <c r="H65" s="3">
        <f>IF(ISERROR(DATEVALUE(MID(D65, FIND(" ", D65)+1, FIND(",", D65)-FIND(" ", D65)-1) &amp; "-" &amp; LEFT(D65, FIND(" ", D65)-1) &amp; "-" &amp; RIGHT(D65, 4))), "20260101", TEXT(DATEVALUE(MID(D65, FIND(" ", D65)+1, FIND(",", D65)-FIND(" ", D65)-1) &amp; "-" &amp; LEFT(D65, FIND(" ", D65)-1) &amp; "-" &amp; RIGHT(D65, 4)), "YYYYMMDD"))</f>
        <v/>
      </c>
      <c r="I65" t="inlineStr">
        <is>
          <t>A*</t>
        </is>
      </c>
    </row>
    <row r="66">
      <c r="A66" t="inlineStr">
        <is>
          <t>EuroCrypt</t>
        </is>
      </c>
      <c r="B66" t="inlineStr">
        <is>
          <t>https://eurocrypt.iacr.org/2025/</t>
        </is>
      </c>
      <c r="C66" t="inlineStr">
        <is>
          <t>Madrid, Spain</t>
        </is>
      </c>
      <c r="D66" s="5" t="n">
        <v>45567</v>
      </c>
      <c r="E66" s="5" t="n">
        <v>45567</v>
      </c>
      <c r="F66" s="5" t="n">
        <v>45781</v>
      </c>
      <c r="G66" t="inlineStr">
        <is>
          <t>Cryptography; Security</t>
        </is>
      </c>
      <c r="H66" s="3">
        <f>IF(ISERROR(DATEVALUE(MID(D66, FIND(" ", D66)+1, FIND(",", D66)-FIND(" ", D66)-1) &amp; "-" &amp; LEFT(D66, FIND(" ", D66)-1) &amp; "-" &amp; RIGHT(D66, 4))), "20260101", TEXT(DATEVALUE(MID(D66, FIND(" ", D66)+1, FIND(",", D66)-FIND(" ", D66)-1) &amp; "-" &amp; LEFT(D66, FIND(" ", D66)-1) &amp; "-" &amp; RIGHT(D66, 4)), "YYYYMMDD"))</f>
        <v/>
      </c>
      <c r="I66" t="inlineStr">
        <is>
          <t>A*</t>
        </is>
      </c>
    </row>
    <row r="67">
      <c r="A67" t="inlineStr">
        <is>
          <t>FOCS</t>
        </is>
      </c>
      <c r="B67" t="inlineStr">
        <is>
          <t>https://focs.computer.org/2025/</t>
        </is>
      </c>
      <c r="C67" t="inlineStr">
        <is>
          <t>Sydney, Australia</t>
        </is>
      </c>
      <c r="D67" s="5" t="n">
        <v>45750</v>
      </c>
      <c r="E67" s="5" t="n">
        <v>45750</v>
      </c>
      <c r="F67" s="5" t="n">
        <v>46005</v>
      </c>
      <c r="G67" t="inlineStr">
        <is>
          <t>Theoretical Computer Science; Foundations</t>
        </is>
      </c>
      <c r="H67" s="3">
        <f>IF(ISERROR(DATEVALUE(MID(D67, FIND(" ", D67)+1, FIND(",", D67)-FIND(" ", D67)-1) &amp; "-" &amp; LEFT(D67, FIND(" ", D67)-1) &amp; "-" &amp; RIGHT(D67, 4))), "20260101", TEXT(DATEVALUE(MID(D67, FIND(" ", D67)+1, FIND(",", D67)-FIND(" ", D67)-1) &amp; "-" &amp; LEFT(D67, FIND(" ", D67)-1) &amp; "-" &amp; RIGHT(D67, 4)), "YYYYMMDD"))</f>
        <v/>
      </c>
      <c r="I67" t="inlineStr">
        <is>
          <t>A*</t>
        </is>
      </c>
    </row>
    <row r="68">
      <c r="A68" t="inlineStr">
        <is>
          <t>FOGA</t>
        </is>
      </c>
      <c r="B68" t="inlineStr">
        <is>
          <t>https://naco.liacs.nl/foga2025/</t>
        </is>
      </c>
      <c r="C68" t="inlineStr">
        <is>
          <t>Leiden, The Netherlands</t>
        </is>
      </c>
      <c r="D68" s="5" t="n">
        <v>45782</v>
      </c>
      <c r="E68" s="5" t="n">
        <v>45782</v>
      </c>
      <c r="F68" s="5" t="n">
        <v>45896</v>
      </c>
      <c r="G68" t="inlineStr">
        <is>
          <t>Evolutionary Algorithms; Randomized Search Heuristics</t>
        </is>
      </c>
      <c r="H68" s="3">
        <f>IF(ISERROR(DATEVALUE(MID(D68, FIND(" ", D68)+1, FIND(",", D68)-FIND(" ", D68)-1) &amp; "-" &amp; LEFT(D68, FIND(" ", D68)-1) &amp; "-" &amp; RIGHT(D68, 4))), "20260101", TEXT(DATEVALUE(MID(D68, FIND(" ", D68)+1, FIND(",", D68)-FIND(" ", D68)-1) &amp; "-" &amp; LEFT(D68, FIND(" ", D68)-1) &amp; "-" &amp; RIGHT(D68, 4)), "YYYYMMDD"))</f>
        <v/>
      </c>
      <c r="I68" t="inlineStr">
        <is>
          <t>A*</t>
        </is>
      </c>
    </row>
    <row r="69">
      <c r="A69" t="inlineStr">
        <is>
          <t>HPCA</t>
        </is>
      </c>
      <c r="B69" t="inlineStr">
        <is>
          <t>https://hpca-conf.org/2025/</t>
        </is>
      </c>
      <c r="C69" t="inlineStr">
        <is>
          <t>Las Vegas, Nevada, USA</t>
        </is>
      </c>
      <c r="D69" s="5" t="n">
        <v>45499</v>
      </c>
      <c r="E69" s="5" t="n">
        <v>45506</v>
      </c>
      <c r="F69" s="5" t="n">
        <v>45717</v>
      </c>
      <c r="G69" t="inlineStr">
        <is>
          <t>Computer Architecture; Parallel Computing</t>
        </is>
      </c>
      <c r="H69" s="3">
        <f>IF(ISERROR(DATEVALUE(MID(D69, FIND(" ", D69)+1, FIND(",", D69)-FIND(" ", D69)-1) &amp; "-" &amp; LEFT(D69, FIND(" ", D69)-1) &amp; "-" &amp; RIGHT(D69, 4))), "20260101", TEXT(DATEVALUE(MID(D69, FIND(" ", D69)+1, FIND(",", D69)-FIND(" ", D69)-1) &amp; "-" &amp; LEFT(D69, FIND(" ", D69)-1) &amp; "-" &amp; RIGHT(D69, 4)), "YYYYMMDD"))</f>
        <v/>
      </c>
      <c r="I69" t="inlineStr">
        <is>
          <t>A*</t>
        </is>
      </c>
    </row>
    <row r="70">
      <c r="A70" t="inlineStr">
        <is>
          <t>I3DG</t>
        </is>
      </c>
      <c r="B70" t="inlineStr">
        <is>
          <t>https://i3dsymposium.org/2025/</t>
        </is>
      </c>
      <c r="C70" t="inlineStr">
        <is>
          <t>Jersey City, New Jersey, USA</t>
        </is>
      </c>
      <c r="D70" s="5" t="n">
        <v>45667</v>
      </c>
      <c r="E70" s="5" t="n">
        <v>45667</v>
      </c>
      <c r="F70" s="5" t="n">
        <v>45784</v>
      </c>
      <c r="G70" t="inlineStr">
        <is>
          <t>Real-time 3D Graphics; Human-Computer Interaction</t>
        </is>
      </c>
      <c r="H70" s="3">
        <f>IF(ISERROR(DATEVALUE(MID(D70, FIND(" ", D70)+1, FIND(",", D70)-FIND(" ", D70)-1) &amp; "-" &amp; LEFT(D70, FIND(" ", D70)-1) &amp; "-" &amp; RIGHT(D70, 4))), "20260101", TEXT(DATEVALUE(MID(D70, FIND(" ", D70)+1, FIND(",", D70)-FIND(" ", D70)-1) &amp; "-" &amp; LEFT(D70, FIND(" ", D70)-1) &amp; "-" &amp; RIGHT(D70, 4)), "YYYYMMDD"))</f>
        <v/>
      </c>
      <c r="I70" t="inlineStr">
        <is>
          <t>A*</t>
        </is>
      </c>
    </row>
    <row r="71">
      <c r="A71" t="inlineStr">
        <is>
          <t>ICCV</t>
        </is>
      </c>
      <c r="B71" t="inlineStr">
        <is>
          <t>https://iccv.thecvf.com/Conferences/2025/Dates</t>
        </is>
      </c>
      <c r="C71" t="inlineStr">
        <is>
          <t>Honolulu, Hawaii, USA</t>
        </is>
      </c>
      <c r="D71" s="5" t="n">
        <v>45720</v>
      </c>
      <c r="E71" s="5" t="n">
        <v>45723</v>
      </c>
      <c r="F71" s="5" t="n">
        <v>45949</v>
      </c>
      <c r="G71" t="inlineStr">
        <is>
          <t>Computer Vision; Pattern Recognition</t>
        </is>
      </c>
      <c r="H71" s="3">
        <f>IF(ISERROR(DATEVALUE(MID(D71, FIND(" ", D71)+1, FIND(",", D71)-FIND(" ", D71)-1) &amp; "-" &amp; LEFT(D71, FIND(" ", D71)-1) &amp; "-" &amp; RIGHT(D71, 4))), "20260101", TEXT(DATEVALUE(MID(D71, FIND(" ", D71)+1, FIND(",", D71)-FIND(" ", D71)-1) &amp; "-" &amp; LEFT(D71, FIND(" ", D71)-1) &amp; "-" &amp; RIGHT(D71, 4)), "YYYYMMDD"))</f>
        <v/>
      </c>
      <c r="I71" t="inlineStr">
        <is>
          <t>A*</t>
        </is>
      </c>
    </row>
    <row r="72">
      <c r="A72" t="inlineStr">
        <is>
          <t>ICDE</t>
        </is>
      </c>
      <c r="B72" t="inlineStr">
        <is>
          <t>https://ieee-icde.org/2025/</t>
        </is>
      </c>
      <c r="C72" t="inlineStr">
        <is>
          <t>Hong Kong SAR, China</t>
        </is>
      </c>
      <c r="D72" s="5" t="n">
        <v>45621</v>
      </c>
      <c r="E72" s="5" t="n">
        <v>45621</v>
      </c>
      <c r="F72" s="5" t="n">
        <v>45796</v>
      </c>
      <c r="G72" t="inlineStr">
        <is>
          <t>Data Engineering; Database Systems</t>
        </is>
      </c>
      <c r="H72" s="3">
        <f>IF(ISERROR(DATEVALUE(MID(D72, FIND(" ", D72)+1, FIND(",", D72)-FIND(" ", D72)-1) &amp; "-" &amp; LEFT(D72, FIND(" ", D72)-1) &amp; "-" &amp; RIGHT(D72, 4))), "20260101", TEXT(DATEVALUE(MID(D72, FIND(" ", D72)+1, FIND(",", D72)-FIND(" ", D72)-1) &amp; "-" &amp; LEFT(D72, FIND(" ", D72)-1) &amp; "-" &amp; RIGHT(D72, 4)), "YYYYMMDD"))</f>
        <v/>
      </c>
      <c r="I72" t="inlineStr">
        <is>
          <t>A*</t>
        </is>
      </c>
    </row>
    <row r="73">
      <c r="A73" t="inlineStr">
        <is>
          <t>ICDM</t>
        </is>
      </c>
      <c r="B73" t="inlineStr">
        <is>
          <t>https://www3.cs.stonybrook.edu/~icdm2025/index.html</t>
        </is>
      </c>
      <c r="C73" t="inlineStr">
        <is>
          <t>Washington, DC, USA</t>
        </is>
      </c>
      <c r="D73" s="5" t="n">
        <v>45814</v>
      </c>
      <c r="E73" s="5" t="n">
        <v>45814</v>
      </c>
      <c r="F73" s="5" t="n">
        <v>45973</v>
      </c>
      <c r="G73" t="inlineStr">
        <is>
          <t>Data Mining; Machine Learning</t>
        </is>
      </c>
      <c r="H73" s="3">
        <f>IF(ISERROR(DATEVALUE(MID(D73, FIND(" ", D73)+1, FIND(",", D73)-FIND(" ", D73)-1) &amp; "-" &amp; LEFT(D73, FIND(" ", D73)-1) &amp; "-" &amp; RIGHT(D73, 4))), "20260101", TEXT(DATEVALUE(MID(D73, FIND(" ", D73)+1, FIND(",", D73)-FIND(" ", D73)-1) &amp; "-" &amp; LEFT(D73, FIND(" ", D73)-1) &amp; "-" &amp; RIGHT(D73, 4)), "YYYYMMDD"))</f>
        <v/>
      </c>
      <c r="I73" t="inlineStr">
        <is>
          <t>A*</t>
        </is>
      </c>
    </row>
    <row r="74">
      <c r="A74" t="inlineStr">
        <is>
          <t>ICFP</t>
        </is>
      </c>
      <c r="B74" t="inlineStr">
        <is>
          <t>https://icfp25.sigplan.org/</t>
        </is>
      </c>
      <c r="C74" t="inlineStr">
        <is>
          <t>Singapore</t>
        </is>
      </c>
      <c r="D74" s="5" t="n">
        <v>45715</v>
      </c>
      <c r="E74" s="5" t="n">
        <v>45715</v>
      </c>
      <c r="F74" s="5" t="n">
        <v>45942</v>
      </c>
      <c r="G74" t="inlineStr">
        <is>
          <t>Functional Programming; Programming Languages</t>
        </is>
      </c>
      <c r="H74" s="3">
        <f>IF(ISERROR(DATEVALUE(MID(D74, FIND(" ", D74)+1, FIND(",", D74)-FIND(" ", D74)-1) &amp; "-" &amp; LEFT(D74, FIND(" ", D74)-1) &amp; "-" &amp; RIGHT(D74, 4))), "20260101", TEXT(DATEVALUE(MID(D74, FIND(" ", D74)+1, FIND(",", D74)-FIND(" ", D74)-1) &amp; "-" &amp; LEFT(D74, FIND(" ", D74)-1) &amp; "-" &amp; RIGHT(D74, 4)), "YYYYMMDD"))</f>
        <v/>
      </c>
      <c r="I74" t="inlineStr">
        <is>
          <t>A*</t>
        </is>
      </c>
    </row>
    <row r="75">
      <c r="A75" t="inlineStr">
        <is>
          <t>ICIS</t>
        </is>
      </c>
      <c r="B75" t="inlineStr">
        <is>
          <t>https://icis2025.aisconferences.org/</t>
        </is>
      </c>
      <c r="C75" t="inlineStr">
        <is>
          <t>Nashville, Tennessee, USA</t>
        </is>
      </c>
      <c r="D75" s="5" t="n">
        <v>45778</v>
      </c>
      <c r="E75" s="5" t="n">
        <v>45778</v>
      </c>
      <c r="F75" s="5" t="n">
        <v>46005</v>
      </c>
      <c r="G75" t="inlineStr">
        <is>
          <t>Information Systems; MIS</t>
        </is>
      </c>
      <c r="H75" s="3">
        <f>IF(ISERROR(DATEVALUE(MID(D75, FIND(" ", D75)+1, FIND(",", D75)-FIND(" ", D75)-1) &amp; "-" &amp; LEFT(D75, FIND(" ", D75)-1) &amp; "-" &amp; RIGHT(D75, 4))), "20260101", TEXT(DATEVALUE(MID(D75, FIND(" ", D75)+1, FIND(",", D75)-FIND(" ", D75)-1) &amp; "-" &amp; LEFT(D75, FIND(" ", D75)-1) &amp; "-" &amp; RIGHT(D75, 4)), "YYYYMMDD"))</f>
        <v/>
      </c>
      <c r="I75" t="inlineStr">
        <is>
          <t>A*</t>
        </is>
      </c>
    </row>
    <row r="76">
      <c r="A76" t="inlineStr">
        <is>
          <t>ICML</t>
        </is>
      </c>
      <c r="B76" t="inlineStr">
        <is>
          <t>https://icml.cc/Conferences/2025</t>
        </is>
      </c>
      <c r="C76" t="inlineStr">
        <is>
          <t>Vancouver, Canada</t>
        </is>
      </c>
      <c r="D76" s="5" t="n">
        <v>45680</v>
      </c>
      <c r="E76" s="5" t="n">
        <v>45687</v>
      </c>
      <c r="F76" s="5" t="n">
        <v>45851</v>
      </c>
      <c r="G76" t="inlineStr">
        <is>
          <t>Machine Learning; AI</t>
        </is>
      </c>
      <c r="H76" s="3">
        <f>IF(ISERROR(DATEVALUE(MID(D76, FIND(" ", D76)+1, FIND(",", D76)-FIND(" ", D76)-1) &amp; "-" &amp; LEFT(D76, FIND(" ", D76)-1) &amp; "-" &amp; RIGHT(D76, 4))), "20260101", TEXT(DATEVALUE(MID(D76, FIND(" ", D76)+1, FIND(",", D76)-FIND(" ", D76)-1) &amp; "-" &amp; LEFT(D76, FIND(" ", D76)-1) &amp; "-" &amp; RIGHT(D76, 4)), "YYYYMMDD"))</f>
        <v/>
      </c>
      <c r="I76" t="inlineStr">
        <is>
          <t>A*</t>
        </is>
      </c>
    </row>
    <row r="77">
      <c r="A77" t="inlineStr">
        <is>
          <t>ICSE</t>
        </is>
      </c>
      <c r="B77" t="inlineStr">
        <is>
          <t>https://conf.researchr.org/home/icse-2025</t>
        </is>
      </c>
      <c r="C77" t="inlineStr">
        <is>
          <t>Ottawa, Canada</t>
        </is>
      </c>
      <c r="D77" s="5" t="n">
        <v>45366</v>
      </c>
      <c r="E77" s="5" t="n">
        <v>45373</v>
      </c>
      <c r="F77" s="5" t="n">
        <v>45773</v>
      </c>
      <c r="G77" t="inlineStr">
        <is>
          <t>Software Engineering</t>
        </is>
      </c>
      <c r="H77" s="3">
        <f>IF(ISERROR(DATEVALUE(MID(D77, FIND(" ", D77)+1, FIND(",", D77)-FIND(" ", D77)-1) &amp; "-" &amp; LEFT(D77, FIND(" ", D77)-1) &amp; "-" &amp; RIGHT(D77, 4))), "20260101", TEXT(DATEVALUE(MID(D77, FIND(" ", D77)+1, FIND(",", D77)-FIND(" ", D77)-1) &amp; "-" &amp; LEFT(D77, FIND(" ", D77)-1) &amp; "-" &amp; RIGHT(D77, 4)), "YYYYMMDD"))</f>
        <v/>
      </c>
      <c r="I77" t="inlineStr">
        <is>
          <t>A*</t>
        </is>
      </c>
    </row>
    <row r="78">
      <c r="A78" t="inlineStr">
        <is>
          <t>IJCAI</t>
        </is>
      </c>
      <c r="B78" t="inlineStr">
        <is>
          <t>https://2025.ijcai.org/</t>
        </is>
      </c>
      <c r="C78" t="inlineStr">
        <is>
          <t>Montreal, Canada</t>
        </is>
      </c>
      <c r="D78" s="5" t="n">
        <v>45673</v>
      </c>
      <c r="E78" s="5" t="n">
        <v>45680</v>
      </c>
      <c r="F78" s="5" t="n">
        <v>45885</v>
      </c>
      <c r="G78" t="inlineStr">
        <is>
          <t>Artificial Intelligence</t>
        </is>
      </c>
      <c r="H78" s="3">
        <f>IF(ISERROR(DATEVALUE(MID(D78, FIND(" ", D78)+1, FIND(",", D78)-FIND(" ", D78)-1) &amp; "-" &amp; LEFT(D78, FIND(" ", D78)-1) &amp; "-" &amp; RIGHT(D78, 4))), "20260101", TEXT(DATEVALUE(MID(D78, FIND(" ", D78)+1, FIND(",", D78)-FIND(" ", D78)-1) &amp; "-" &amp; LEFT(D78, FIND(" ", D78)-1) &amp; "-" &amp; RIGHT(D78, 4)), "YYYYMMDD"))</f>
        <v/>
      </c>
      <c r="I78" t="inlineStr">
        <is>
          <t>A*</t>
        </is>
      </c>
    </row>
    <row r="79">
      <c r="A79" t="inlineStr">
        <is>
          <t>IJCAR</t>
        </is>
      </c>
      <c r="B79" t="inlineStr">
        <is>
          <t>https://resources.illc.uva.nl/LogicList/newsitem.php?id=12052</t>
        </is>
      </c>
      <c r="C79" t="inlineStr">
        <is>
          <t>Reykjavik, Iceland</t>
        </is>
      </c>
      <c r="D79" s="5" t="n">
        <v>45786</v>
      </c>
      <c r="E79" s="5" t="n">
        <v>45791</v>
      </c>
      <c r="F79" s="5" t="n">
        <v>45927</v>
      </c>
      <c r="G79" t="inlineStr">
        <is>
          <t>Automated Reasoning</t>
        </is>
      </c>
      <c r="H79" s="3">
        <f>IF(ISERROR(DATEVALUE(MID(D79, FIND(" ", D79)+1, FIND(",", D79)-FIND(" ", D79)-1) &amp; "-" &amp; LEFT(D79, FIND(" ", D79)-1) &amp; "-" &amp; RIGHT(D79, 4))), "20260101", TEXT(DATEVALUE(MID(D79, FIND(" ", D79)+1, FIND(",", D79)-FIND(" ", D79)-1) &amp; "-" &amp; LEFT(D79, FIND(" ", D79)-1) &amp; "-" &amp; RIGHT(D79, 4)), "YYYYMMDD"))</f>
        <v/>
      </c>
      <c r="I79" t="inlineStr">
        <is>
          <t>A*</t>
        </is>
      </c>
    </row>
    <row r="80">
      <c r="A80" t="inlineStr">
        <is>
          <t>ISCA</t>
        </is>
      </c>
      <c r="B80" t="inlineStr">
        <is>
          <t>https://www.iscaconf.org/isca2025/</t>
        </is>
      </c>
      <c r="C80" t="inlineStr">
        <is>
          <t>Cambridge, MA, USA</t>
        </is>
      </c>
      <c r="D80" s="5" t="n">
        <v>45658</v>
      </c>
      <c r="E80" s="5" t="n">
        <v>45659</v>
      </c>
      <c r="F80" s="5" t="n">
        <v>45829</v>
      </c>
      <c r="G80" t="inlineStr">
        <is>
          <t>Computer Architecture</t>
        </is>
      </c>
      <c r="H80" s="3">
        <f>IF(ISERROR(DATEVALUE(MID(D80, FIND(" ", D80)+1, FIND(",", D80)-FIND(" ", D80)-1) &amp; "-" &amp; LEFT(D80, FIND(" ", D80)-1) &amp; "-" &amp; RIGHT(D80, 4))), "20260101", TEXT(DATEVALUE(MID(D80, FIND(" ", D80)+1, FIND(",", D80)-FIND(" ", D80)-1) &amp; "-" &amp; LEFT(D80, FIND(" ", D80)-1) &amp; "-" &amp; RIGHT(D80, 4)), "YYYYMMDD"))</f>
        <v/>
      </c>
      <c r="I80" t="inlineStr">
        <is>
          <t>A*</t>
        </is>
      </c>
    </row>
    <row r="81">
      <c r="A81" t="inlineStr">
        <is>
          <t>ISMAR</t>
        </is>
      </c>
      <c r="B81" t="inlineStr">
        <is>
          <t>https://www.ieeeismar.net/2025/</t>
        </is>
      </c>
      <c r="C81" t="inlineStr">
        <is>
          <t>Daejeon, South Korea</t>
        </is>
      </c>
      <c r="D81" s="5" t="n">
        <v>45751</v>
      </c>
      <c r="E81" s="5" t="n">
        <v>45758</v>
      </c>
      <c r="F81" s="5" t="n">
        <v>45938</v>
      </c>
      <c r="G81" t="inlineStr">
        <is>
          <t>Mixed and Augmented Reality</t>
        </is>
      </c>
      <c r="H81" s="3">
        <f>IF(ISERROR(DATEVALUE(MID(D81, FIND(" ", D81)+1, FIND(",", D81)-FIND(" ", D81)-1) &amp; "-" &amp; LEFT(D81, FIND(" ", D81)-1) &amp; "-" &amp; RIGHT(D81, 4))), "20260101", TEXT(DATEVALUE(MID(D81, FIND(" ", D81)+1, FIND(",", D81)-FIND(" ", D81)-1) &amp; "-" &amp; LEFT(D81, FIND(" ", D81)-1) &amp; "-" &amp; RIGHT(D81, 4)), "YYYYMMDD"))</f>
        <v/>
      </c>
      <c r="I81" t="inlineStr">
        <is>
          <t>A*</t>
        </is>
      </c>
    </row>
    <row r="82">
      <c r="A82" t="inlineStr">
        <is>
          <t>ISSAC</t>
        </is>
      </c>
      <c r="B82" t="inlineStr">
        <is>
          <t>https://www.commalg.org/event/issac-2025/</t>
        </is>
      </c>
      <c r="C82" t="inlineStr">
        <is>
          <t>Guanajuato, Mexico</t>
        </is>
      </c>
      <c r="D82" s="5" t="n">
        <v>45680</v>
      </c>
      <c r="E82" s="5" t="n">
        <v>45687</v>
      </c>
      <c r="F82" s="5" t="n">
        <v>45866</v>
      </c>
      <c r="G82" t="inlineStr">
        <is>
          <t>Symbolic and Algebraic Computation</t>
        </is>
      </c>
      <c r="H82" s="3">
        <f>IF(ISERROR(DATEVALUE(MID(D82, FIND(" ", D82)+1, FIND(",", D82)-FIND(" ", D82)-1) &amp; "-" &amp; LEFT(D82, FIND(" ", D82)-1) &amp; "-" &amp; RIGHT(D82, 4))), "20260101", TEXT(DATEVALUE(MID(D82, FIND(" ", D82)+1, FIND(",", D82)-FIND(" ", D82)-1) &amp; "-" &amp; LEFT(D82, FIND(" ", D82)-1) &amp; "-" &amp; RIGHT(D82, 4)), "YYYYMMDD"))</f>
        <v/>
      </c>
      <c r="I82" t="inlineStr">
        <is>
          <t>A*</t>
        </is>
      </c>
    </row>
    <row r="83">
      <c r="A83" t="inlineStr">
        <is>
          <t>ISWC</t>
        </is>
      </c>
      <c r="B83" t="inlineStr">
        <is>
          <t>https://iswc2025.semanticweb.org/#/calls/</t>
        </is>
      </c>
      <c r="C83" t="inlineStr">
        <is>
          <t>Nara, Japan</t>
        </is>
      </c>
      <c r="D83" s="5" t="n">
        <v>45783</v>
      </c>
      <c r="E83" s="5" t="n">
        <v>45790</v>
      </c>
      <c r="F83" s="5" t="n">
        <v>45963</v>
      </c>
      <c r="G83" t="inlineStr">
        <is>
          <t>Semantic Web</t>
        </is>
      </c>
      <c r="H83" s="3">
        <f>IF(ISERROR(DATEVALUE(MID(D83, FIND(" ", D83)+1, FIND(",", D83)-FIND(" ", D83)-1) &amp; "-" &amp; LEFT(D83, FIND(" ", D83)-1) &amp; "-" &amp; RIGHT(D83, 4))), "20260101", TEXT(DATEVALUE(MID(D83, FIND(" ", D83)+1, FIND(",", D83)-FIND(" ", D83)-1) &amp; "-" &amp; LEFT(D83, FIND(" ", D83)-1) &amp; "-" &amp; RIGHT(D83, 4)), "YYYYMMDD"))</f>
        <v/>
      </c>
      <c r="I83" t="inlineStr">
        <is>
          <t>A*</t>
        </is>
      </c>
    </row>
    <row r="84">
      <c r="A84" t="inlineStr">
        <is>
          <t>KR</t>
        </is>
      </c>
      <c r="B84" t="inlineStr">
        <is>
          <t>https://www.wikicfp.com/cfp/program?id=1917</t>
        </is>
      </c>
      <c r="C84" t="inlineStr">
        <is>
          <t>Hanoi, Vietnam</t>
        </is>
      </c>
      <c r="D84" s="5" t="n">
        <v>45784</v>
      </c>
      <c r="E84" s="5" t="n">
        <v>45789</v>
      </c>
      <c r="F84" s="5" t="n">
        <v>45963</v>
      </c>
      <c r="G84" t="inlineStr">
        <is>
          <t>Knowledge Representation and Reasoning</t>
        </is>
      </c>
      <c r="H84" s="3">
        <f>IF(ISERROR(DATEVALUE(MID(D84, FIND(" ", D84)+1, FIND(",", D84)-FIND(" ", D84)-1) &amp; "-" &amp; LEFT(D84, FIND(" ", D84)-1) &amp; "-" &amp; RIGHT(D84, 4))), "20260101", TEXT(DATEVALUE(MID(D84, FIND(" ", D84)+1, FIND(",", D84)-FIND(" ", D84)-1) &amp; "-" &amp; LEFT(D84, FIND(" ", D84)-1) &amp; "-" &amp; RIGHT(D84, 4)), "YYYYMMDD"))</f>
        <v/>
      </c>
      <c r="I84" t="inlineStr">
        <is>
          <t>A*</t>
        </is>
      </c>
    </row>
    <row r="85">
      <c r="A85" t="inlineStr">
        <is>
          <t>LICS</t>
        </is>
      </c>
      <c r="B85" t="inlineStr">
        <is>
          <t>https://lics.siglog.org/lics25/</t>
        </is>
      </c>
      <c r="C85" t="inlineStr">
        <is>
          <t>Singapore</t>
        </is>
      </c>
      <c r="D85" s="5" t="n">
        <v>45673</v>
      </c>
      <c r="E85" s="5" t="n">
        <v>45680</v>
      </c>
      <c r="F85" s="5" t="n">
        <v>45831</v>
      </c>
      <c r="G85" t="inlineStr">
        <is>
          <t>Logic in Computer Science</t>
        </is>
      </c>
      <c r="H85" s="3">
        <f>IF(ISERROR(DATEVALUE(MID(D85, FIND(" ", D85)+1, FIND(",", D85)-FIND(" ", D85)-1) &amp; "-" &amp; LEFT(D85, FIND(" ", D85)-1) &amp; "-" &amp; RIGHT(D85, 4))), "20260101", TEXT(DATEVALUE(MID(D85, FIND(" ", D85)+1, FIND(",", D85)-FIND(" ", D85)-1) &amp; "-" &amp; LEFT(D85, FIND(" ", D85)-1) &amp; "-" &amp; RIGHT(D85, 4)), "YYYYMMDD"))</f>
        <v/>
      </c>
      <c r="I85" t="inlineStr">
        <is>
          <t>A*</t>
        </is>
      </c>
    </row>
    <row r="86">
      <c r="A86" t="inlineStr">
        <is>
          <t>NIPS</t>
        </is>
      </c>
      <c r="B86" t="inlineStr">
        <is>
          <t>https://neurips.cc/Conferences/2025</t>
        </is>
      </c>
      <c r="C86" t="inlineStr">
        <is>
          <t>San Diego Convention Center, San Diego, California, USA</t>
        </is>
      </c>
      <c r="D86" s="5" t="n">
        <v>45788</v>
      </c>
      <c r="E86" s="5" t="n">
        <v>45792</v>
      </c>
      <c r="F86" s="5" t="n">
        <v>45993</v>
      </c>
      <c r="G86" t="inlineStr">
        <is>
          <t>Machine Learning, AI</t>
        </is>
      </c>
      <c r="H86" s="3">
        <f>IF(ISERROR(DATEVALUE(MID(D86, FIND(" ", D86)+1, FIND(",", D86)-FIND(" ", D86)-1) &amp; "-" &amp; LEFT(D86, FIND(" ", D86)-1) &amp; "-" &amp; RIGHT(D86, 4))), "20260101", TEXT(DATEVALUE(MID(D86, FIND(" ", D86)+1, FIND(",", D86)-FIND(" ", D86)-1) &amp; "-" &amp; LEFT(D86, FIND(" ", D86)-1) &amp; "-" &amp; RIGHT(D86, 4)), "YYYYMMDD"))</f>
        <v/>
      </c>
      <c r="I86" t="inlineStr">
        <is>
          <t>A*</t>
        </is>
      </c>
    </row>
    <row r="87">
      <c r="A87" t="inlineStr">
        <is>
          <t>OOPSLA</t>
        </is>
      </c>
      <c r="B87" t="inlineStr">
        <is>
          <t>https://2025.splashcon.org/track/OOPSLA</t>
        </is>
      </c>
      <c r="C87" t="inlineStr">
        <is>
          <t>Singapore</t>
        </is>
      </c>
      <c r="D87" s="5" t="n">
        <v>45580</v>
      </c>
      <c r="E87" s="5" t="n">
        <v>45741</v>
      </c>
      <c r="F87" s="5" t="n">
        <v>45942</v>
      </c>
      <c r="G87" t="inlineStr">
        <is>
          <t>Programming Languages; Software</t>
        </is>
      </c>
      <c r="H87" s="3">
        <f>IF(ISERROR(DATEVALUE(MID(D87, FIND(" ", D87)+1, FIND(",", D87)-FIND(" ", D87)-1) &amp; "-" &amp; LEFT(D87, FIND(" ", D87)-1) &amp; "-" &amp; RIGHT(D87, 4))), "20260101", TEXT(DATEVALUE(MID(D87, FIND(" ", D87)+1, FIND(",", D87)-FIND(" ", D87)-1) &amp; "-" &amp; LEFT(D87, FIND(" ", D87)-1) &amp; "-" &amp; RIGHT(D87, 4)), "YYYYMMDD"))</f>
        <v/>
      </c>
      <c r="I87" t="inlineStr">
        <is>
          <t>A*</t>
        </is>
      </c>
    </row>
    <row r="88">
      <c r="A88" t="inlineStr">
        <is>
          <t>OSDI</t>
        </is>
      </c>
      <c r="B88" t="inlineStr">
        <is>
          <t>https://www.usenix.org/conference/osdi25</t>
        </is>
      </c>
      <c r="C88" t="inlineStr">
        <is>
          <t>Boston, Massachusetts, USA</t>
        </is>
      </c>
      <c r="D88" s="5" t="n">
        <v>45629</v>
      </c>
      <c r="E88" s="5" t="n">
        <v>45636</v>
      </c>
      <c r="F88" s="5" t="n">
        <v>45845</v>
      </c>
      <c r="G88" t="inlineStr">
        <is>
          <t>Operating Systems; Systems</t>
        </is>
      </c>
      <c r="H88" s="3">
        <f>IF(ISERROR(DATEVALUE(MID(D88, FIND(" ", D88)+1, FIND(",", D88)-FIND(" ", D88)-1) &amp; "-" &amp; LEFT(D88, FIND(" ", D88)-1) &amp; "-" &amp; RIGHT(D88, 4))), "20260101", TEXT(DATEVALUE(MID(D88, FIND(" ", D88)+1, FIND(",", D88)-FIND(" ", D88)-1) &amp; "-" &amp; LEFT(D88, FIND(" ", D88)-1) &amp; "-" &amp; RIGHT(D88, 4)), "YYYYMMDD"))</f>
        <v/>
      </c>
      <c r="I88" t="inlineStr">
        <is>
          <t>A*</t>
        </is>
      </c>
    </row>
    <row r="89">
      <c r="A89" t="inlineStr">
        <is>
          <t>PERCOM</t>
        </is>
      </c>
      <c r="B89" t="inlineStr">
        <is>
          <t>https://percom.org/</t>
        </is>
      </c>
      <c r="C89" t="inlineStr">
        <is>
          <t>Rotterdam, Netherlands</t>
        </is>
      </c>
      <c r="D89" s="5" t="n">
        <v>45613</v>
      </c>
      <c r="E89" s="5" t="n">
        <v>45613</v>
      </c>
      <c r="F89" s="5" t="n">
        <v>45733</v>
      </c>
      <c r="G89" t="inlineStr">
        <is>
          <t>Pervasive Computing; IoT</t>
        </is>
      </c>
      <c r="H89" s="3">
        <f>IF(ISERROR(DATEVALUE(MID(D89, FIND(" ", D89)+1, FIND(",", D89)-FIND(" ", D89)-1) &amp; "-" &amp; LEFT(D89, FIND(" ", D89)-1) &amp; "-" &amp; RIGHT(D89, 4))), "20260101", TEXT(DATEVALUE(MID(D89, FIND(" ", D89)+1, FIND(",", D89)-FIND(" ", D89)-1) &amp; "-" &amp; LEFT(D89, FIND(" ", D89)-1) &amp; "-" &amp; RIGHT(D89, 4)), "YYYYMMDD"))</f>
        <v/>
      </c>
      <c r="I89" t="inlineStr">
        <is>
          <t>A*</t>
        </is>
      </c>
    </row>
    <row r="90">
      <c r="A90" t="inlineStr">
        <is>
          <t>PERVASIVE</t>
        </is>
      </c>
      <c r="B90" t="inlineStr">
        <is>
          <t>https://pervasive.org/</t>
        </is>
      </c>
      <c r="C90" t="inlineStr">
        <is>
          <t>Toronto, Canada</t>
        </is>
      </c>
      <c r="D90" s="5" t="n">
        <v>45706</v>
      </c>
      <c r="E90" s="5" t="n">
        <v>45706</v>
      </c>
      <c r="F90" s="5" t="n">
        <v>45789</v>
      </c>
      <c r="G90" t="inlineStr">
        <is>
          <t>Ubiquitous Computing; Mobile Systems</t>
        </is>
      </c>
      <c r="H90" s="3">
        <f>IF(ISERROR(DATEVALUE(MID(D90, FIND(" ", D90)+1, FIND(",", D90)-FIND(" ", D90)-1) &amp; "-" &amp; LEFT(D90, FIND(" ", D90)-1) &amp; "-" &amp; RIGHT(D90, 4))), "20260101", TEXT(DATEVALUE(MID(D90, FIND(" ", D90)+1, FIND(",", D90)-FIND(" ", D90)-1) &amp; "-" &amp; LEFT(D90, FIND(" ", D90)-1) &amp; "-" &amp; RIGHT(D90, 4)), "YYYYMMDD"))</f>
        <v/>
      </c>
      <c r="I90" t="inlineStr">
        <is>
          <t>A*</t>
        </is>
      </c>
    </row>
    <row r="91">
      <c r="A91" t="inlineStr">
        <is>
          <t>PLDI</t>
        </is>
      </c>
      <c r="B91" t="inlineStr">
        <is>
          <t>https://pldi25.sigplan.org/</t>
        </is>
      </c>
      <c r="C91" t="inlineStr">
        <is>
          <t>Seoul, South Korea</t>
        </is>
      </c>
      <c r="D91" s="5" t="n">
        <v>45610</v>
      </c>
      <c r="E91" s="5" t="n">
        <v>45610</v>
      </c>
      <c r="F91" s="5" t="n">
        <v>45824</v>
      </c>
      <c r="G91" t="inlineStr">
        <is>
          <t>Programming Languages; Compilers</t>
        </is>
      </c>
      <c r="H91" s="3">
        <f>IF(ISERROR(DATEVALUE(MID(D91, FIND(" ", D91)+1, FIND(",", D91)-FIND(" ", D91)-1) &amp; "-" &amp; LEFT(D91, FIND(" ", D91)-1) &amp; "-" &amp; RIGHT(D91, 4))), "20260101", TEXT(DATEVALUE(MID(D91, FIND(" ", D91)+1, FIND(",", D91)-FIND(" ", D91)-1) &amp; "-" &amp; LEFT(D91, FIND(" ", D91)-1) &amp; "-" &amp; RIGHT(D91, 4)), "YYYYMMDD"))</f>
        <v/>
      </c>
      <c r="I91" t="inlineStr">
        <is>
          <t>A*</t>
        </is>
      </c>
    </row>
    <row r="92">
      <c r="A92" t="inlineStr">
        <is>
          <t>PODC</t>
        </is>
      </c>
      <c r="B92" t="inlineStr">
        <is>
          <t>https://www.podc.org/podc2025/</t>
        </is>
      </c>
      <c r="C92" t="inlineStr">
        <is>
          <t>Santa María Huatulco, Mexico</t>
        </is>
      </c>
      <c r="D92" s="5" t="n">
        <v>45692</v>
      </c>
      <c r="E92" s="5" t="n">
        <v>45696</v>
      </c>
      <c r="F92" s="5" t="n">
        <v>45824</v>
      </c>
      <c r="G92" t="inlineStr">
        <is>
          <t>Distributed Computing; Algorithms</t>
        </is>
      </c>
      <c r="H92" s="3">
        <f>IF(ISERROR(DATEVALUE(MID(D92, FIND(" ", D92)+1, FIND(",", D92)-FIND(" ", D92)-1) &amp; "-" &amp; LEFT(D92, FIND(" ", D92)-1) &amp; "-" &amp; RIGHT(D92, 4))), "20260101", TEXT(DATEVALUE(MID(D92, FIND(" ", D92)+1, FIND(",", D92)-FIND(" ", D92)-1) &amp; "-" &amp; LEFT(D92, FIND(" ", D92)-1) &amp; "-" &amp; RIGHT(D92, 4)), "YYYYMMDD"))</f>
        <v/>
      </c>
      <c r="I92" t="inlineStr">
        <is>
          <t>A*</t>
        </is>
      </c>
    </row>
    <row r="93">
      <c r="A93" t="inlineStr">
        <is>
          <t>PODS</t>
        </is>
      </c>
      <c r="B93" s="2" t="inlineStr">
        <is>
          <t>https://2025.sigmod.org/</t>
        </is>
      </c>
      <c r="C93" t="inlineStr">
        <is>
          <t>Berlin, Germany</t>
        </is>
      </c>
      <c r="D93" s="5" t="n">
        <v>45658</v>
      </c>
      <c r="E93" s="5" t="n">
        <v>45658</v>
      </c>
      <c r="F93" s="5" t="n">
        <v>45830</v>
      </c>
      <c r="G93" t="inlineStr">
        <is>
          <t>Database Theory; Systems</t>
        </is>
      </c>
      <c r="H93" s="3">
        <f>IF(ISERROR(DATEVALUE(MID(D93, FIND(" ", D93)+1, FIND(",", D93)-FIND(" ", D93)-1) &amp; "-" &amp; LEFT(D93, FIND(" ", D93)-1) &amp; "-" &amp; RIGHT(D93, 4))), "20260101", TEXT(DATEVALUE(MID(D93, FIND(" ", D93)+1, FIND(",", D93)-FIND(" ", D93)-1) &amp; "-" &amp; LEFT(D93, FIND(" ", D93)-1) &amp; "-" &amp; RIGHT(D93, 4)), "YYYYMMDD"))</f>
        <v/>
      </c>
      <c r="I93" t="inlineStr">
        <is>
          <t>A*</t>
        </is>
      </c>
    </row>
    <row r="94">
      <c r="A94" t="inlineStr">
        <is>
          <t>POPL</t>
        </is>
      </c>
      <c r="B94" t="inlineStr">
        <is>
          <t>https://popl25.sigplan.org/</t>
        </is>
      </c>
      <c r="C94" t="inlineStr">
        <is>
          <t>Denver, Colorado, USA</t>
        </is>
      </c>
      <c r="D94" s="5" t="n">
        <v>45484</v>
      </c>
      <c r="E94" s="5" t="n">
        <v>45484</v>
      </c>
      <c r="F94" s="5" t="n">
        <v>45676</v>
      </c>
      <c r="G94" t="inlineStr">
        <is>
          <t>Programming Languages; Theory</t>
        </is>
      </c>
      <c r="H94" s="3">
        <f>IF(ISERROR(DATEVALUE(MID(D94, FIND(" ", D94)+1, FIND(",", D94)-FIND(" ", D94)-1) &amp; "-" &amp; LEFT(D94, FIND(" ", D94)-1) &amp; "-" &amp; RIGHT(D94, 4))), "20260101", TEXT(DATEVALUE(MID(D94, FIND(" ", D94)+1, FIND(",", D94)-FIND(" ", D94)-1) &amp; "-" &amp; LEFT(D94, FIND(" ", D94)-1) &amp; "-" &amp; RIGHT(D94, 4)), "YYYYMMDD"))</f>
        <v/>
      </c>
      <c r="I94" t="inlineStr">
        <is>
          <t>A*</t>
        </is>
      </c>
    </row>
    <row r="95">
      <c r="A95" t="inlineStr">
        <is>
          <t>SIGGRAPH</t>
        </is>
      </c>
      <c r="B95" t="inlineStr">
        <is>
          <t>https://s2025.siggraph.org/</t>
        </is>
      </c>
      <c r="C95" t="inlineStr">
        <is>
          <t>Vancouver, British Columbia, Canada</t>
        </is>
      </c>
      <c r="D95" s="5" t="n">
        <v>45673</v>
      </c>
      <c r="E95" s="5" t="n">
        <v>45680</v>
      </c>
      <c r="F95" s="5" t="n">
        <v>45879</v>
      </c>
      <c r="G95" t="inlineStr">
        <is>
          <t>Computer Graphics; Interactive Techniques</t>
        </is>
      </c>
      <c r="H95" s="3">
        <f>IF(ISERROR(DATEVALUE(MID(D95, FIND(" ", D95)+1, FIND(",", D95)-FIND(" ", D95)-1) &amp; "-" &amp; LEFT(D95, FIND(" ", D95)-1) &amp; "-" &amp; RIGHT(D95, 4))), "20260101", TEXT(DATEVALUE(MID(D95, FIND(" ", D95)+1, FIND(",", D95)-FIND(" ", D95)-1) &amp; "-" &amp; LEFT(D95, FIND(" ", D95)-1) &amp; "-" &amp; RIGHT(D95, 4)), "YYYYMMDD"))</f>
        <v/>
      </c>
      <c r="I95" t="inlineStr">
        <is>
          <t>A*</t>
        </is>
      </c>
    </row>
    <row r="96">
      <c r="A96" t="inlineStr">
        <is>
          <t>SIGIR</t>
        </is>
      </c>
      <c r="B96" t="inlineStr">
        <is>
          <t>https://sigir2025.dei.unipd.it/</t>
        </is>
      </c>
      <c r="C96" t="inlineStr">
        <is>
          <t>Padua, Italy</t>
        </is>
      </c>
      <c r="D96" s="5" t="n">
        <v>45673</v>
      </c>
      <c r="E96" s="5" t="n">
        <v>45680</v>
      </c>
      <c r="F96" s="5" t="n">
        <v>45851</v>
      </c>
      <c r="G96" t="inlineStr">
        <is>
          <t>Information Retrieval</t>
        </is>
      </c>
      <c r="H96" s="3">
        <f>IF(ISERROR(DATEVALUE(MID(D96, FIND(" ", D96)+1, FIND(",", D96)-FIND(" ", D96)-1) &amp; "-" &amp; LEFT(D96, FIND(" ", D96)-1) &amp; "-" &amp; RIGHT(D96, 4))), "20260101", TEXT(DATEVALUE(MID(D96, FIND(" ", D96)+1, FIND(",", D96)-FIND(" ", D96)-1) &amp; "-" &amp; LEFT(D96, FIND(" ", D96)-1) &amp; "-" &amp; RIGHT(D96, 4)), "YYYYMMDD"))</f>
        <v/>
      </c>
      <c r="I96" t="inlineStr">
        <is>
          <t>A*</t>
        </is>
      </c>
    </row>
    <row r="97">
      <c r="A97" t="inlineStr">
        <is>
          <t>SIGKDD</t>
        </is>
      </c>
      <c r="B97" t="inlineStr">
        <is>
          <t>https://kdd2025.kdd.org/</t>
        </is>
      </c>
      <c r="C97" t="inlineStr">
        <is>
          <t>Toronto, Ontario, Canada</t>
        </is>
      </c>
      <c r="D97" s="5" t="n">
        <v>45691</v>
      </c>
      <c r="E97" s="5" t="n">
        <v>45698</v>
      </c>
      <c r="F97" s="5" t="n">
        <v>45872</v>
      </c>
      <c r="G97" t="inlineStr">
        <is>
          <t>Data Mining; Data Science</t>
        </is>
      </c>
      <c r="H97" s="3">
        <f>IF(ISERROR(DATEVALUE(MID(D97, FIND(" ", D97)+1, FIND(",", D97)-FIND(" ", D97)-1) &amp; "-" &amp; LEFT(D97, FIND(" ", D97)-1) &amp; "-" &amp; RIGHT(D97, 4))), "20260101", TEXT(DATEVALUE(MID(D97, FIND(" ", D97)+1, FIND(",", D97)-FIND(" ", D97)-1) &amp; "-" &amp; LEFT(D97, FIND(" ", D97)-1) &amp; "-" &amp; RIGHT(D97, 4)), "YYYYMMDD"))</f>
        <v/>
      </c>
      <c r="I97" t="inlineStr">
        <is>
          <t>A*</t>
        </is>
      </c>
    </row>
    <row r="98">
      <c r="A98" t="inlineStr">
        <is>
          <t>SIGMOD</t>
        </is>
      </c>
      <c r="B98" t="inlineStr">
        <is>
          <t>https://2025.sigmod.org/</t>
        </is>
      </c>
      <c r="C98" t="inlineStr">
        <is>
          <t>Berlin, Germany</t>
        </is>
      </c>
      <c r="D98" s="5" t="n">
        <v>45443</v>
      </c>
      <c r="E98" s="5" t="n">
        <v>45450</v>
      </c>
      <c r="F98" s="5" t="n">
        <v>45830</v>
      </c>
      <c r="G98" t="inlineStr">
        <is>
          <t>Database Systems</t>
        </is>
      </c>
      <c r="H98" s="3">
        <f>IF(ISERROR(DATEVALUE(MID(D98, FIND(" ", D98)+1, FIND(",", D98)-FIND(" ", D98)-1) &amp; "-" &amp; LEFT(D98, FIND(" ", D98)-1) &amp; "-" &amp; RIGHT(D98, 4))), "20260101", TEXT(DATEVALUE(MID(D98, FIND(" ", D98)+1, FIND(",", D98)-FIND(" ", D98)-1) &amp; "-" &amp; LEFT(D98, FIND(" ", D98)-1) &amp; "-" &amp; RIGHT(D98, 4)), "YYYYMMDD"))</f>
        <v/>
      </c>
      <c r="I98" t="inlineStr">
        <is>
          <t>A*</t>
        </is>
      </c>
    </row>
    <row r="99">
      <c r="A99" t="inlineStr">
        <is>
          <t>SODA</t>
        </is>
      </c>
      <c r="B99" t="inlineStr">
        <is>
          <t>https://www.siam.org/conferences-events/siam-conferences/soda25</t>
        </is>
      </c>
      <c r="C99" t="inlineStr">
        <is>
          <t>New Orleans, Louisiana, USA</t>
        </is>
      </c>
      <c r="D99" s="5" t="n">
        <v>45478</v>
      </c>
      <c r="E99" s="5" t="n">
        <v>45478</v>
      </c>
      <c r="F99" s="5" t="n">
        <v>45669</v>
      </c>
      <c r="G99" t="inlineStr">
        <is>
          <t>Algorithms</t>
        </is>
      </c>
      <c r="H99" s="3">
        <f>IF(ISERROR(DATEVALUE(MID(D99, FIND(" ", D99)+1, FIND(",", D99)-FIND(" ", D99)-1) &amp; "-" &amp; LEFT(D99, FIND(" ", D99)-1) &amp; "-" &amp; RIGHT(D99, 4))), "20260101", TEXT(DATEVALUE(MID(D99, FIND(" ", D99)+1, FIND(",", D99)-FIND(" ", D99)-1) &amp; "-" &amp; LEFT(D99, FIND(" ", D99)-1) &amp; "-" &amp; RIGHT(D99, 4)), "YYYYMMDD"))</f>
        <v/>
      </c>
      <c r="I99" t="inlineStr">
        <is>
          <t>A*</t>
        </is>
      </c>
    </row>
    <row r="100">
      <c r="A100" t="inlineStr">
        <is>
          <t>SOSP</t>
        </is>
      </c>
      <c r="B100" t="inlineStr">
        <is>
          <t>https://sigops.org/s/conferences/sosp/2025/</t>
        </is>
      </c>
      <c r="C100" t="inlineStr">
        <is>
          <t>Seoul, Republic of Korea</t>
        </is>
      </c>
      <c r="D100" s="5" t="n">
        <v>45757</v>
      </c>
      <c r="E100" s="5" t="n">
        <v>45764</v>
      </c>
      <c r="F100" s="5" t="n">
        <v>45943</v>
      </c>
      <c r="G100" t="inlineStr">
        <is>
          <t>Operating Systems</t>
        </is>
      </c>
      <c r="H100" s="3">
        <f>IF(ISERROR(DATEVALUE(MID(D100, FIND(" ", D100)+1, FIND(",", D100)-FIND(" ", D100)-1) &amp; "-" &amp; LEFT(D100, FIND(" ", D100)-1) &amp; "-" &amp; RIGHT(D100, 4))), "20260101", TEXT(DATEVALUE(MID(D100, FIND(" ", D100)+1, FIND(",", D100)-FIND(" ", D100)-1) &amp; "-" &amp; LEFT(D100, FIND(" ", D100)-1) &amp; "-" &amp; RIGHT(D100, 4)), "YYYYMMDD"))</f>
        <v/>
      </c>
      <c r="I100" t="inlineStr">
        <is>
          <t>A*</t>
        </is>
      </c>
    </row>
    <row r="101">
      <c r="A101" t="inlineStr">
        <is>
          <t>STOC</t>
        </is>
      </c>
      <c r="B101" t="inlineStr">
        <is>
          <t>https://acm-stoc.org/stoc2025/</t>
        </is>
      </c>
      <c r="C101" t="inlineStr">
        <is>
          <t>Prague, Czech Republic</t>
        </is>
      </c>
      <c r="D101" s="5" t="n">
        <v>45600</v>
      </c>
      <c r="E101" s="5" t="n">
        <v>45600</v>
      </c>
      <c r="F101" s="5" t="n">
        <v>45831</v>
      </c>
      <c r="G101" t="inlineStr">
        <is>
          <t>Theoretical Computer Science</t>
        </is>
      </c>
      <c r="H101" s="3">
        <f>IF(ISERROR(DATEVALUE(MID(D101, FIND(" ", D101)+1, FIND(",", D101)-FIND(" ", D101)-1) &amp; "-" &amp; LEFT(D101, FIND(" ", D101)-1) &amp; "-" &amp; RIGHT(D101, 4))), "20260101", TEXT(DATEVALUE(MID(D101, FIND(" ", D101)+1, FIND(",", D101)-FIND(" ", D101)-1) &amp; "-" &amp; LEFT(D101, FIND(" ", D101)-1) &amp; "-" &amp; RIGHT(D101, 4)), "YYYYMMDD"))</f>
        <v/>
      </c>
      <c r="I101" t="inlineStr">
        <is>
          <t>A*</t>
        </is>
      </c>
    </row>
    <row r="102">
      <c r="A102" t="inlineStr">
        <is>
          <t>UAI</t>
        </is>
      </c>
      <c r="B102" t="inlineStr">
        <is>
          <t>https://www.auai.org/uai2025/</t>
        </is>
      </c>
      <c r="C102" t="inlineStr">
        <is>
          <t>Rio de Janeiro, Brazil</t>
        </is>
      </c>
      <c r="D102" s="5" t="n">
        <v>45698</v>
      </c>
      <c r="E102" s="5" t="n">
        <v>45698</v>
      </c>
      <c r="F102" s="5" t="n">
        <v>45860</v>
      </c>
      <c r="G102" t="inlineStr">
        <is>
          <t>Uncertainty in AI</t>
        </is>
      </c>
      <c r="H102" s="3">
        <f>IF(ISERROR(DATEVALUE(MID(D102, FIND(" ", D102)+1, FIND(",", D102)-FIND(" ", D102)-1) &amp; "-" &amp; LEFT(D102, FIND(" ", D102)-1) &amp; "-" &amp; RIGHT(D102, 4))), "20260101", TEXT(DATEVALUE(MID(D102, FIND(" ", D102)+1, FIND(",", D102)-FIND(" ", D102)-1) &amp; "-" &amp; LEFT(D102, FIND(" ", D102)-1) &amp; "-" &amp; RIGHT(D102, 4)), "YYYYMMDD"))</f>
        <v/>
      </c>
      <c r="I102" t="inlineStr">
        <is>
          <t>A*</t>
        </is>
      </c>
    </row>
    <row r="103">
      <c r="A103" t="inlineStr">
        <is>
          <t>UbiComp</t>
        </is>
      </c>
      <c r="B103" t="inlineStr">
        <is>
          <t>https://www.ubicomp.org/ubicomp-iswc-2025/</t>
        </is>
      </c>
      <c r="C103" t="inlineStr">
        <is>
          <t>Espoo, Finland</t>
        </is>
      </c>
      <c r="D103" s="5" t="n">
        <v>45689</v>
      </c>
      <c r="E103" s="5" t="n">
        <v>45689</v>
      </c>
      <c r="F103" s="5" t="n">
        <v>45942</v>
      </c>
      <c r="G103" t="inlineStr">
        <is>
          <t>Ubiquitous Computing</t>
        </is>
      </c>
      <c r="H103" s="3">
        <f>IF(ISERROR(DATEVALUE(MID(D103, FIND(" ", D103)+1, FIND(",", D103)-FIND(" ", D103)-1) &amp; "-" &amp; LEFT(D103, FIND(" ", D103)-1) &amp; "-" &amp; RIGHT(D103, 4))), "20260101", TEXT(DATEVALUE(MID(D103, FIND(" ", D103)+1, FIND(",", D103)-FIND(" ", D103)-1) &amp; "-" &amp; LEFT(D103, FIND(" ", D103)-1) &amp; "-" &amp; RIGHT(D103, 4)), "YYYYMMDD"))</f>
        <v/>
      </c>
      <c r="I103" t="inlineStr">
        <is>
          <t>A*</t>
        </is>
      </c>
    </row>
    <row r="104">
      <c r="A104" t="inlineStr">
        <is>
          <t>VLDB</t>
        </is>
      </c>
      <c r="B104" t="inlineStr">
        <is>
          <t>https://vldb.org/</t>
        </is>
      </c>
      <c r="C104" t="inlineStr">
        <is>
          <t>New Orleans, Louisiana, USA</t>
        </is>
      </c>
      <c r="D104" s="5" t="n">
        <v>45580</v>
      </c>
      <c r="E104" s="5" t="n">
        <v>45587</v>
      </c>
      <c r="F104" s="5" t="n">
        <v>45888</v>
      </c>
      <c r="G104" t="inlineStr">
        <is>
          <t>Database Systems</t>
        </is>
      </c>
      <c r="H104" s="3">
        <f>IF(ISERROR(DATEVALUE(MID(D104, FIND(" ", D104)+1, FIND(",", D104)-FIND(" ", D104)-1) &amp; "-" &amp; LEFT(D104, FIND(" ", D104)-1) &amp; "-" &amp; RIGHT(D104, 4))), "20260101", TEXT(DATEVALUE(MID(D104, FIND(" ", D104)+1, FIND(",", D104)-FIND(" ", D104)-1) &amp; "-" &amp; LEFT(D104, FIND(" ", D104)-1) &amp; "-" &amp; RIGHT(D104, 4)), "YYYYMMDD"))</f>
        <v/>
      </c>
      <c r="I104" t="inlineStr">
        <is>
          <t>A*</t>
        </is>
      </c>
    </row>
    <row r="105">
      <c r="A105" t="inlineStr">
        <is>
          <t>WWW</t>
        </is>
      </c>
      <c r="B105" t="inlineStr">
        <is>
          <t>https://www2025.thewebconf.org/</t>
        </is>
      </c>
      <c r="C105" t="inlineStr">
        <is>
          <t>Lyon, France</t>
        </is>
      </c>
      <c r="D105" s="5" t="n">
        <v>45669</v>
      </c>
      <c r="E105" s="5" t="n">
        <v>45676</v>
      </c>
      <c r="F105" s="5" t="n">
        <v>45782</v>
      </c>
      <c r="G105" t="inlineStr">
        <is>
          <t>Web Technologies</t>
        </is>
      </c>
      <c r="H105" s="3">
        <f>IF(ISERROR(DATEVALUE(MID(D105, FIND(" ", D105)+1, FIND(",", D105)-FIND(" ", D105)-1) &amp; "-" &amp; LEFT(D105, FIND(" ", D105)-1) &amp; "-" &amp; RIGHT(D105, 4))), "20260101", TEXT(DATEVALUE(MID(D105, FIND(" ", D105)+1, FIND(",", D105)-FIND(" ", D105)-1) &amp; "-" &amp; LEFT(D105, FIND(" ", D105)-1) &amp; "-" &amp; RIGHT(D105, 4)), "YYYYMMDD"))</f>
        <v/>
      </c>
      <c r="I105" t="inlineStr">
        <is>
          <t>A*</t>
        </is>
      </c>
    </row>
    <row r="106">
      <c r="A106" t="inlineStr">
        <is>
          <t>ISWC</t>
        </is>
      </c>
      <c r="B106" t="inlineStr">
        <is>
          <t>https://iswc2025.semanticweb.org/</t>
        </is>
      </c>
      <c r="C106" t="inlineStr">
        <is>
          <t>Hangzhou, China</t>
        </is>
      </c>
      <c r="D106" s="5" t="n">
        <v>45778</v>
      </c>
      <c r="E106" s="5" t="n">
        <v>45785</v>
      </c>
      <c r="F106" s="5" t="n">
        <v>45945</v>
      </c>
      <c r="G106" t="inlineStr">
        <is>
          <t>Semantic Web</t>
        </is>
      </c>
      <c r="H106" s="3">
        <f>IF(ISERROR(DATEVALUE(MID(D106, FIND(" ", D106)+1, FIND(",", D106)-FIND(" ", D106)-1) &amp; "-" &amp; LEFT(D106, FIND(" ", D106)-1) &amp; "-" &amp; RIGHT(D106, 4))), "20260101", TEXT(DATEVALUE(MID(D106, FIND(" ", D106)+1, FIND(",", D106)-FIND(" ", D106)-1) &amp; "-" &amp; LEFT(D106, FIND(" ", D106)-1) &amp; "-" &amp; RIGHT(D106, 4)), "YYYYMMDD"))</f>
        <v/>
      </c>
      <c r="I106" t="inlineStr">
        <is>
          <t>A*</t>
        </is>
      </c>
    </row>
    <row r="107">
      <c r="A107" t="inlineStr">
        <is>
          <t>DSN</t>
        </is>
      </c>
      <c r="B107" t="inlineStr">
        <is>
          <t>https://dsn2025.github.io/</t>
        </is>
      </c>
      <c r="C107" t="inlineStr">
        <is>
          <t>Naples, Italy</t>
        </is>
      </c>
      <c r="D107" s="5" t="n">
        <v>45623</v>
      </c>
      <c r="E107" s="5" t="n">
        <v>45630</v>
      </c>
      <c r="F107" s="5" t="n">
        <v>45831</v>
      </c>
      <c r="G107" t="inlineStr">
        <is>
          <t>Dependable Systems and Networks</t>
        </is>
      </c>
      <c r="H107" s="3">
        <f>IF(ISERROR(DATEVALUE(MID(D107, FIND(" ", D107)+1, FIND(",", D107)-FIND(" ", D107)-1) &amp; "-" &amp; LEFT(D107, FIND(" ", D107)-1) &amp; "-" &amp; RIGHT(D107, 4))), "20260101", TEXT(DATEVALUE(MID(D107, FIND(" ", D107)+1, FIND(",", D107)-FIND(" ", D107)-1) &amp; "-" &amp; LEFT(D107, FIND(" ", D107)-1) &amp; "-" &amp; RIGHT(D107, 4)), "YYYYMMDD"))</f>
        <v/>
      </c>
      <c r="I107" t="inlineStr">
        <is>
          <t>A*</t>
        </is>
      </c>
    </row>
    <row r="108">
      <c r="A108" t="inlineStr">
        <is>
          <t>ICIS</t>
        </is>
      </c>
      <c r="B108" t="inlineStr">
        <is>
          <t>https://icis2025.aisconferences.org/</t>
        </is>
      </c>
      <c r="C108" t="inlineStr">
        <is>
          <t>Nashville, Tennessee, USA</t>
        </is>
      </c>
      <c r="D108" s="5" t="n">
        <v>45778</v>
      </c>
      <c r="E108" s="5" t="n">
        <v>45778</v>
      </c>
      <c r="F108" s="5" t="n">
        <v>46005</v>
      </c>
      <c r="G108" t="inlineStr">
        <is>
          <t>Information Systems</t>
        </is>
      </c>
      <c r="H108" s="3">
        <f>IF(ISERROR(DATEVALUE(MID(D108, FIND(" ", D108)+1, FIND(",", D108)-FIND(" ", D108)-1) &amp; "-" &amp; LEFT(D108, FIND(" ", D108)-1) &amp; "-" &amp; RIGHT(D108, 4))), "20260101", TEXT(DATEVALUE(MID(D108, FIND(" ", D108)+1, FIND(",", D108)-FIND(" ", D108)-1) &amp; "-" &amp; LEFT(D108, FIND(" ", D108)-1) &amp; "-" &amp; RIGHT(D108, 4)), "YYYYMMDD"))</f>
        <v/>
      </c>
      <c r="I108" t="inlineStr">
        <is>
          <t>A*</t>
        </is>
      </c>
    </row>
    <row r="109">
      <c r="A109" t="inlineStr">
        <is>
          <t>ACIS 2025</t>
        </is>
      </c>
      <c r="B109" t="inlineStr">
        <is>
          <t>https://acis.aaisnet.org/acis2025/</t>
        </is>
      </c>
      <c r="C109" t="inlineStr">
        <is>
          <t>Moreton Bay Campus, University of the Sunshine Coast, Queensland, Australia</t>
        </is>
      </c>
      <c r="D109" s="6" t="n">
        <v>45884</v>
      </c>
      <c r="E109" s="6" t="n">
        <v>45884</v>
      </c>
      <c r="F109" s="7" t="n">
        <v>45992</v>
      </c>
      <c r="G109" t="inlineStr">
        <is>
          <t>Information Systems</t>
        </is>
      </c>
      <c r="H109" s="3">
        <f>IF(ISERROR(DATEVALUE(MID(D109, FIND(" ", D109)+1, FIND(",", D109)-FIND(" ", D109)-1) &amp; "-" &amp; LEFT(D109, FIND(" ", D109)-1) &amp; "-" &amp; RIGHT(D109, 4))), "20260101", TEXT(DATEVALUE(MID(D109, FIND(" ", D109)+1, FIND(",", D109)-FIND(" ", D109)-1) &amp; "-" &amp; LEFT(D109, FIND(" ", D109)-1) &amp; "-" &amp; RIGHT(D109, 4)), "YYYYMMDD"))</f>
        <v/>
      </c>
      <c r="I109" s="4" t="inlineStr">
        <is>
          <t>A</t>
        </is>
      </c>
    </row>
    <row r="110">
      <c r="A110" t="inlineStr">
        <is>
          <t>ACSAC 2025</t>
        </is>
      </c>
      <c r="B110" t="inlineStr">
        <is>
          <t>https://www.acsac.org/</t>
        </is>
      </c>
      <c r="C110" t="inlineStr">
        <is>
          <t>Honolulu, Hawaii, USA</t>
        </is>
      </c>
      <c r="D110" s="6" t="n">
        <v>45807</v>
      </c>
      <c r="E110" s="6" t="n">
        <v>45807</v>
      </c>
      <c r="F110" s="7" t="n">
        <v>45999</v>
      </c>
      <c r="G110" t="inlineStr">
        <is>
          <t>Computer Security</t>
        </is>
      </c>
      <c r="H110" s="3">
        <f>IF(ISERROR(DATEVALUE(MID(D110, FIND(" ", D110)+1, FIND(",", D110)-FIND(" ", D110)-1) &amp; "-" &amp; LEFT(D110, FIND(" ", D110)-1) &amp; "-" &amp; RIGHT(D110, 4))), "20260101", TEXT(DATEVALUE(MID(D110, FIND(" ", D110)+1, FIND(",", D110)-FIND(" ", D110)-1) &amp; "-" &amp; LEFT(D110, FIND(" ", D110)-1) &amp; "-" &amp; RIGHT(D110, 4)), "YYYYMMDD"))</f>
        <v/>
      </c>
      <c r="I110" s="4" t="inlineStr">
        <is>
          <t>A</t>
        </is>
      </c>
    </row>
    <row r="111">
      <c r="A111" t="inlineStr">
        <is>
          <t>AIIM 2025</t>
        </is>
      </c>
      <c r="B111" t="inlineStr">
        <is>
          <t>https://www.ai-medicalcongress.com/</t>
        </is>
      </c>
      <c r="C111" t="inlineStr">
        <is>
          <t>Lisbon, Portugal</t>
        </is>
      </c>
      <c r="D111" s="6" t="n">
        <v>45833</v>
      </c>
      <c r="E111" s="6" t="n">
        <v>45833</v>
      </c>
      <c r="F111" s="7" t="n">
        <v>45887</v>
      </c>
      <c r="G111" t="inlineStr">
        <is>
          <t>Artificial Intelligence in Medicine</t>
        </is>
      </c>
      <c r="H111" s="3">
        <f>IF(ISERROR(DATEVALUE(MID(D111, FIND(" ", D111)+1, FIND(",", D111)-FIND(" ", D111)-1) &amp; "-" &amp; LEFT(D111, FIND(" ", D111)-1) &amp; "-" &amp; RIGHT(D111, 4))), "20260101", TEXT(DATEVALUE(MID(D111, FIND(" ", D111)+1, FIND(",", D111)-FIND(" ", D111)-1) &amp; "-" &amp; LEFT(D111, FIND(" ", D111)-1) &amp; "-" &amp; RIGHT(D111, 4)), "YYYYMMDD"))</f>
        <v/>
      </c>
      <c r="I111" s="4" t="inlineStr">
        <is>
          <t>A</t>
        </is>
      </c>
    </row>
    <row r="112">
      <c r="A112" t="inlineStr">
        <is>
          <t>AIME 2025</t>
        </is>
      </c>
      <c r="B112" t="inlineStr">
        <is>
          <t>https://aime25.aimedicine.info/</t>
        </is>
      </c>
      <c r="C112" t="inlineStr">
        <is>
          <t>Pavia, Italy</t>
        </is>
      </c>
      <c r="D112" s="6" t="n">
        <v>45684</v>
      </c>
      <c r="E112" s="6" t="n">
        <v>45684</v>
      </c>
      <c r="F112" s="7" t="n">
        <v>45831</v>
      </c>
      <c r="G112" t="inlineStr">
        <is>
          <t>AI in Medicine</t>
        </is>
      </c>
      <c r="H112" s="3">
        <f>IF(ISERROR(DATEVALUE(MID(D112, FIND(" ", D112)+1, FIND(",", D112)-FIND(" ", D112)-1) &amp; "-" &amp; LEFT(D112, FIND(" ", D112)-1) &amp; "-" &amp; RIGHT(D112, 4))), "20260101", TEXT(DATEVALUE(MID(D112, FIND(" ", D112)+1, FIND(",", D112)-FIND(" ", D112)-1) &amp; "-" &amp; LEFT(D112, FIND(" ", D112)-1) &amp; "-" &amp; RIGHT(D112, 4)), "YYYYMMDD"))</f>
        <v/>
      </c>
      <c r="I112" s="4" t="inlineStr">
        <is>
          <t>A</t>
        </is>
      </c>
    </row>
    <row r="113">
      <c r="A113" t="inlineStr">
        <is>
          <t>AiML 2025</t>
        </is>
      </c>
      <c r="B113" s="2" t="inlineStr">
        <is>
          <t>https://unitedresearchforum.com/ai-conference/</t>
        </is>
      </c>
      <c r="C113" t="inlineStr">
        <is>
          <t>London, UK</t>
        </is>
      </c>
      <c r="D113" s="6" t="n">
        <v>45835</v>
      </c>
      <c r="E113" s="6" t="n">
        <v>45835</v>
      </c>
      <c r="F113" s="7" t="n">
        <v>45978</v>
      </c>
      <c r="G113" t="inlineStr">
        <is>
          <t>Modal Logic</t>
        </is>
      </c>
      <c r="H113" s="3">
        <f>IF(ISERROR(DATEVALUE(MID(D113, FIND(" ", D113)+1, FIND(",", D113)-FIND(" ", D113)-1) &amp; "-" &amp; LEFT(D113, FIND(" ", D113)-1) &amp; "-" &amp; RIGHT(D113, 4))), "20260101", TEXT(DATEVALUE(MID(D113, FIND(" ", D113)+1, FIND(",", D113)-FIND(" ", D113)-1) &amp; "-" &amp; LEFT(D113, FIND(" ", D113)-1) &amp; "-" &amp; RIGHT(D113, 4)), "YYYYMMDD"))</f>
        <v/>
      </c>
      <c r="I113" s="4" t="inlineStr">
        <is>
          <t>A</t>
        </is>
      </c>
    </row>
    <row r="114">
      <c r="A114" t="inlineStr">
        <is>
          <t>ALENEX 2025</t>
        </is>
      </c>
      <c r="B114" t="inlineStr">
        <is>
          <t>https://www.siam.org/conferences-events/past-event-archive/alenex25/</t>
        </is>
      </c>
      <c r="C114" t="inlineStr">
        <is>
          <t>New Orleans, Louisiana, USA</t>
        </is>
      </c>
      <c r="D114" s="6" t="n">
        <v>45669</v>
      </c>
      <c r="E114" s="6" t="n">
        <v>45669</v>
      </c>
      <c r="F114" s="7" t="n">
        <v>45669</v>
      </c>
      <c r="G114" t="inlineStr">
        <is>
          <t>Algorithm Engineering</t>
        </is>
      </c>
      <c r="H114" s="3">
        <f>IF(ISERROR(DATEVALUE(MID(D114, FIND(" ", D114)+1, FIND(",", D114)-FIND(" ", D114)-1) &amp; "-" &amp; LEFT(D114, FIND(" ", D114)-1) &amp; "-" &amp; RIGHT(D114, 4))), "20260101", TEXT(DATEVALUE(MID(D114, FIND(" ", D114)+1, FIND(",", D114)-FIND(" ", D114)-1) &amp; "-" &amp; LEFT(D114, FIND(" ", D114)-1) &amp; "-" &amp; RIGHT(D114, 4)), "YYYYMMDD"))</f>
        <v/>
      </c>
      <c r="I114" s="4" t="inlineStr">
        <is>
          <t>A</t>
        </is>
      </c>
    </row>
    <row r="115">
      <c r="A115" t="inlineStr">
        <is>
          <t>ALIFE 2025</t>
        </is>
      </c>
      <c r="B115" t="inlineStr">
        <is>
          <t>https://2025.alife.org/</t>
        </is>
      </c>
      <c r="C115" t="inlineStr">
        <is>
          <t>Kyoto, Japan</t>
        </is>
      </c>
      <c r="D115" s="6" t="n">
        <v>45818</v>
      </c>
      <c r="E115" s="6" t="n">
        <v>45818</v>
      </c>
      <c r="F115" s="7" t="n">
        <v>45936</v>
      </c>
      <c r="G115" t="inlineStr">
        <is>
          <t>Artificial Life</t>
        </is>
      </c>
      <c r="H115" s="3">
        <f>IF(ISERROR(DATEVALUE(MID(D115, FIND(" ", D115)+1, FIND(",", D115)-FIND(" ", D115)-1) &amp; "-" &amp; LEFT(D115, FIND(" ", D115)-1) &amp; "-" &amp; RIGHT(D115, 4))), "20260101", TEXT(DATEVALUE(MID(D115, FIND(" ", D115)+1, FIND(",", D115)-FIND(" ", D115)-1) &amp; "-" &amp; LEFT(D115, FIND(" ", D115)-1) &amp; "-" &amp; RIGHT(D115, 4)), "YYYYMMDD"))</f>
        <v/>
      </c>
      <c r="I115" s="4" t="inlineStr">
        <is>
          <t>A</t>
        </is>
      </c>
    </row>
    <row r="116">
      <c r="A116" t="inlineStr">
        <is>
          <t>ALT 2025</t>
        </is>
      </c>
      <c r="B116" t="inlineStr">
        <is>
          <t>https://algorithmiclearningtheory.org/alt2025/</t>
        </is>
      </c>
      <c r="C116" t="inlineStr">
        <is>
          <t>Milan, Italy</t>
        </is>
      </c>
      <c r="D116" s="6" t="n">
        <v>45566</v>
      </c>
      <c r="E116" s="6" t="n">
        <v>45566</v>
      </c>
      <c r="F116" s="7" t="n">
        <v>45712</v>
      </c>
      <c r="G116" t="inlineStr">
        <is>
          <t>Learning Theory</t>
        </is>
      </c>
      <c r="H116" s="3">
        <f>IF(ISERROR(DATEVALUE(MID(D116, FIND(" ", D116)+1, FIND(",", D116)-FIND(" ", D116)-1) &amp; "-" &amp; LEFT(D116, FIND(" ", D116)-1) &amp; "-" &amp; RIGHT(D116, 4))), "20260101", TEXT(DATEVALUE(MID(D116, FIND(" ", D116)+1, FIND(",", D116)-FIND(" ", D116)-1) &amp; "-" &amp; LEFT(D116, FIND(" ", D116)-1) &amp; "-" &amp; RIGHT(D116, 4)), "YYYYMMDD"))</f>
        <v/>
      </c>
      <c r="I116" s="4" t="inlineStr">
        <is>
          <t>A</t>
        </is>
      </c>
    </row>
    <row r="117">
      <c r="A117" t="inlineStr">
        <is>
          <t>AMCIS 2025</t>
        </is>
      </c>
      <c r="B117" t="inlineStr">
        <is>
          <t>https://amcis2025.org/</t>
        </is>
      </c>
      <c r="C117" t="inlineStr">
        <is>
          <t>Brisbane, Australia</t>
        </is>
      </c>
      <c r="D117" s="6" t="n">
        <v>45915</v>
      </c>
      <c r="E117" s="6" t="n">
        <v>45915</v>
      </c>
      <c r="F117" s="7" t="n">
        <v>45915</v>
      </c>
      <c r="G117" t="inlineStr">
        <is>
          <t>Information Systems</t>
        </is>
      </c>
      <c r="H117" s="3">
        <f>IF(ISERROR(DATEVALUE(MID(D117, FIND(" ", D117)+1, FIND(",", D117)-FIND(" ", D117)-1) &amp; "-" &amp; LEFT(D117, FIND(" ", D117)-1) &amp; "-" &amp; RIGHT(D117, 4))), "20260101", TEXT(DATEVALUE(MID(D117, FIND(" ", D117)+1, FIND(",", D117)-FIND(" ", D117)-1) &amp; "-" &amp; LEFT(D117, FIND(" ", D117)-1) &amp; "-" &amp; RIGHT(D117, 4)), "YYYYMMDD"))</f>
        <v/>
      </c>
      <c r="I117" s="4" t="inlineStr">
        <is>
          <t>A</t>
        </is>
      </c>
    </row>
    <row r="118">
      <c r="A118" t="inlineStr">
        <is>
          <t>AOSD 2025</t>
        </is>
      </c>
      <c r="B118" t="inlineStr">
        <is>
          <t>https://2025.aosd.net/</t>
        </is>
      </c>
      <c r="C118" t="inlineStr">
        <is>
          <t>Toronto, Canada</t>
        </is>
      </c>
      <c r="D118" s="6" t="n">
        <v>45731</v>
      </c>
      <c r="E118" s="6" t="n">
        <v>45731</v>
      </c>
      <c r="F118" s="7" t="n">
        <v>45767</v>
      </c>
      <c r="G118" t="inlineStr">
        <is>
          <t>Software Engineering</t>
        </is>
      </c>
      <c r="H118" s="3">
        <f>IF(ISERROR(DATEVALUE(MID(D118, FIND(" ", D118)+1, FIND(",", D118)-FIND(" ", D118)-1) &amp; "-" &amp; LEFT(D118, FIND(" ", D118)-1) &amp; "-" &amp; RIGHT(D118, 4))), "20260101", TEXT(DATEVALUE(MID(D118, FIND(" ", D118)+1, FIND(",", D118)-FIND(" ", D118)-1) &amp; "-" &amp; LEFT(D118, FIND(" ", D118)-1) &amp; "-" &amp; RIGHT(D118, 4)), "YYYYMMDD"))</f>
        <v/>
      </c>
      <c r="I118" s="4" t="inlineStr">
        <is>
          <t>A</t>
        </is>
      </c>
    </row>
    <row r="119">
      <c r="A119" t="inlineStr">
        <is>
          <t>APPROX 2024</t>
        </is>
      </c>
      <c r="B119" t="inlineStr">
        <is>
          <t>https://sites.google.com/site/approx2025/</t>
        </is>
      </c>
      <c r="C119" t="inlineStr">
        <is>
          <t>Berlin, Germany</t>
        </is>
      </c>
      <c r="D119" s="6" t="n">
        <v>45606</v>
      </c>
      <c r="E119" s="6" t="n">
        <v>45606</v>
      </c>
      <c r="F119" s="7" t="n">
        <v>45606</v>
      </c>
      <c r="G119" t="inlineStr">
        <is>
          <t>Theoretical Computer Science</t>
        </is>
      </c>
      <c r="H119" s="3">
        <f>IF(ISERROR(DATEVALUE(MID(D119, FIND(" ", D119)+1, FIND(",", D119)-FIND(" ", D119)-1) &amp; "-" &amp; LEFT(D119, FIND(" ", D119)-1) &amp; "-" &amp; RIGHT(D119, 4))), "20260101", TEXT(DATEVALUE(MID(D119, FIND(" ", D119)+1, FIND(",", D119)-FIND(" ", D119)-1) &amp; "-" &amp; LEFT(D119, FIND(" ", D119)-1) &amp; "-" &amp; RIGHT(D119, 4)), "YYYYMMDD"))</f>
        <v/>
      </c>
      <c r="I119" s="4" t="inlineStr">
        <is>
          <t>A</t>
        </is>
      </c>
    </row>
    <row r="120">
      <c r="A120" t="inlineStr">
        <is>
          <t>ASAP 2025</t>
        </is>
      </c>
      <c r="B120" t="inlineStr">
        <is>
          <t>https://www.asap-2025.org/</t>
        </is>
      </c>
      <c r="C120" t="inlineStr">
        <is>
          <t>Vancouver, British Columbia, Canada</t>
        </is>
      </c>
      <c r="D120" s="6" t="n">
        <v>45702</v>
      </c>
      <c r="E120" s="6" t="n">
        <v>45709</v>
      </c>
      <c r="F120" s="7" t="n">
        <v>45866</v>
      </c>
      <c r="G120" t="inlineStr">
        <is>
          <t>Application-specific Systems; Architectures; Processors</t>
        </is>
      </c>
      <c r="H120" s="3">
        <f>IF(ISERROR(DATEVALUE(MID(D120, FIND(" ", D120)+1, FIND(",", D120)-FIND(" ", D120)-1) &amp; "-" &amp; LEFT(D120, FIND(" ", D120)-1) &amp; "-" &amp; RIGHT(D120, 4))), "20260101", TEXT(DATEVALUE(MID(D120, FIND(" ", D120)+1, FIND(",", D120)-FIND(" ", D120)-1) &amp; "-" &amp; LEFT(D120, FIND(" ", D120)-1) &amp; "-" &amp; RIGHT(D120, 4)), "YYYYMMDD"))</f>
        <v/>
      </c>
      <c r="I120" s="4" t="inlineStr">
        <is>
          <t>A</t>
        </is>
      </c>
    </row>
    <row r="121">
      <c r="A121" t="inlineStr">
        <is>
          <t>ASE 2025</t>
        </is>
      </c>
      <c r="B121" t="inlineStr">
        <is>
          <t>https://iconf.org/conference/ase2025</t>
        </is>
      </c>
      <c r="C121" t="inlineStr">
        <is>
          <t>Seoul, South Korea</t>
        </is>
      </c>
      <c r="D121" s="6" t="n">
        <v>45807</v>
      </c>
      <c r="E121" s="6" t="n">
        <v>45807</v>
      </c>
      <c r="F121" s="7" t="n">
        <v>45977</v>
      </c>
      <c r="G121" t="inlineStr">
        <is>
          <t>Automated Software Engineering</t>
        </is>
      </c>
      <c r="H121" s="3">
        <f>IF(ISERROR(DATEVALUE(MID(D121, FIND(" ", D121)+1, FIND(",", D121)-FIND(" ", D121)-1) &amp; "-" &amp; LEFT(D121, FIND(" ", D121)-1) &amp; "-" &amp; RIGHT(D121, 4))), "20260101", TEXT(DATEVALUE(MID(D121, FIND(" ", D121)+1, FIND(",", D121)-FIND(" ", D121)-1) &amp; "-" &amp; LEFT(D121, FIND(" ", D121)-1) &amp; "-" &amp; RIGHT(D121, 4)), "YYYYMMDD"))</f>
        <v/>
      </c>
      <c r="I121" s="4" t="inlineStr">
        <is>
          <t>A</t>
        </is>
      </c>
    </row>
    <row r="122">
      <c r="A122" t="inlineStr">
        <is>
          <t>ASIACRYPT 2025</t>
        </is>
      </c>
      <c r="B122" t="inlineStr">
        <is>
          <t>https://asiacrypt.iacr.org/2025/</t>
        </is>
      </c>
      <c r="C122" t="inlineStr">
        <is>
          <t>Melbourne, Australia</t>
        </is>
      </c>
      <c r="D122" s="6" t="n">
        <v>45793</v>
      </c>
      <c r="E122" s="6" t="n">
        <v>45793</v>
      </c>
      <c r="F122" s="7" t="n">
        <v>45999</v>
      </c>
      <c r="G122" t="inlineStr">
        <is>
          <t>Cryptology; Information Security</t>
        </is>
      </c>
      <c r="H122" s="3">
        <f>IF(ISERROR(DATEVALUE(MID(D122, FIND(" ", D122)+1, FIND(",", D122)-FIND(" ", D122)-1) &amp; "-" &amp; LEFT(D122, FIND(" ", D122)-1) &amp; "-" &amp; RIGHT(D122, 4))), "20260101", TEXT(DATEVALUE(MID(D122, FIND(" ", D122)+1, FIND(",", D122)-FIND(" ", D122)-1) &amp; "-" &amp; LEFT(D122, FIND(" ", D122)-1) &amp; "-" &amp; RIGHT(D122, 4)), "YYYYMMDD"))</f>
        <v/>
      </c>
      <c r="I122" s="4" t="inlineStr">
        <is>
          <t>A</t>
        </is>
      </c>
    </row>
    <row r="123">
      <c r="A123" t="inlineStr">
        <is>
          <t>ATVA 2025</t>
        </is>
      </c>
      <c r="B123" t="inlineStr">
        <is>
          <t>https://conf.researchr.org/home/atva-2025</t>
        </is>
      </c>
      <c r="C123" t="inlineStr">
        <is>
          <t>Bengaluru, India</t>
        </is>
      </c>
      <c r="D123" s="6" t="n">
        <v>45758</v>
      </c>
      <c r="E123" s="6" t="n">
        <v>45765</v>
      </c>
      <c r="F123" s="7" t="n">
        <v>45958</v>
      </c>
      <c r="G123" t="inlineStr">
        <is>
          <t>Formal Methods; Verification; Automated Analysis</t>
        </is>
      </c>
      <c r="H123" s="3">
        <f>IF(ISERROR(DATEVALUE(MID(D123, FIND(" ", D123)+1, FIND(",", D123)-FIND(" ", D123)-1) &amp; "-" &amp; LEFT(D123, FIND(" ", D123)-1) &amp; "-" &amp; RIGHT(D123, 4))), "20260101", TEXT(DATEVALUE(MID(D123, FIND(" ", D123)+1, FIND(",", D123)-FIND(" ", D123)-1) &amp; "-" &amp; LEFT(D123, FIND(" ", D123)-1) &amp; "-" &amp; RIGHT(D123, 4)), "YYYYMMDD"))</f>
        <v/>
      </c>
      <c r="I123" s="4" t="inlineStr">
        <is>
          <t>A</t>
        </is>
      </c>
    </row>
    <row r="124">
      <c r="A124" t="inlineStr">
        <is>
          <t>BPM 2025</t>
        </is>
      </c>
      <c r="B124" t="inlineStr">
        <is>
          <t>https://bpm-conference.org/</t>
        </is>
      </c>
      <c r="C124" t="inlineStr">
        <is>
          <t>Seville, Spain</t>
        </is>
      </c>
      <c r="D124" s="6" t="n">
        <v>45792</v>
      </c>
      <c r="E124" s="6" t="n">
        <v>45806</v>
      </c>
      <c r="F124" s="7" t="n">
        <v>45900</v>
      </c>
      <c r="G124" t="inlineStr">
        <is>
          <t>Business Process Management; Workflow; Process Mining</t>
        </is>
      </c>
      <c r="H124" s="3">
        <f>IF(ISERROR(DATEVALUE(MID(D124, FIND(" ", D124)+1, FIND(",", D124)-FIND(" ", D124)-1) &amp; "-" &amp; LEFT(D124, FIND(" ", D124)-1) &amp; "-" &amp; RIGHT(D124, 4))), "20260101", TEXT(DATEVALUE(MID(D124, FIND(" ", D124)+1, FIND(",", D124)-FIND(" ", D124)-1) &amp; "-" &amp; LEFT(D124, FIND(" ", D124)-1) &amp; "-" &amp; RIGHT(D124, 4)), "YYYYMMDD"))</f>
        <v/>
      </c>
      <c r="I124" s="4" t="inlineStr">
        <is>
          <t>A</t>
        </is>
      </c>
    </row>
    <row r="125">
      <c r="A125" t="inlineStr">
        <is>
          <t>CADE-30 2025</t>
        </is>
      </c>
      <c r="B125" t="inlineStr">
        <is>
          <t>https://www.dhbw-stuttgart.de/cade-30/</t>
        </is>
      </c>
      <c r="C125" t="inlineStr">
        <is>
          <t>Stuttgart, Germany</t>
        </is>
      </c>
      <c r="D125" s="6" t="n">
        <v>45705</v>
      </c>
      <c r="E125" s="6" t="n">
        <v>45712</v>
      </c>
      <c r="F125" s="7" t="n">
        <v>45866</v>
      </c>
      <c r="G125" t="inlineStr">
        <is>
          <t>Automated Deduction; Theorem Proving</t>
        </is>
      </c>
      <c r="H125" s="3">
        <f>IF(ISERROR(DATEVALUE(MID(D125, FIND(" ", D125)+1, FIND(",", D125)-FIND(" ", D125)-1) &amp; "-" &amp; LEFT(D125, FIND(" ", D125)-1) &amp; "-" &amp; RIGHT(D125, 4))), "20260101", TEXT(DATEVALUE(MID(D125, FIND(" ", D125)+1, FIND(",", D125)-FIND(" ", D125)-1) &amp; "-" &amp; LEFT(D125, FIND(" ", D125)-1) &amp; "-" &amp; RIGHT(D125, 4)), "YYYYMMDD"))</f>
        <v/>
      </c>
      <c r="I125" s="4" t="inlineStr">
        <is>
          <t>A</t>
        </is>
      </c>
    </row>
    <row r="126">
      <c r="A126" t="inlineStr">
        <is>
          <t>CAiSE 2025</t>
        </is>
      </c>
      <c r="B126" t="inlineStr">
        <is>
          <t>https://conferences.big.tuwien.ac.at/caise2025/</t>
        </is>
      </c>
      <c r="C126" t="inlineStr">
        <is>
          <t>Vienna, Austria</t>
        </is>
      </c>
      <c r="D126" s="6" t="n">
        <v>45824</v>
      </c>
      <c r="E126" s="6" t="n">
        <v>45824</v>
      </c>
      <c r="F126" s="7" t="n">
        <v>45824</v>
      </c>
      <c r="G126" t="inlineStr">
        <is>
          <t>Information Systems Engineering</t>
        </is>
      </c>
      <c r="H126" s="3">
        <f>IF(ISERROR(DATEVALUE(MID(D126, FIND(" ", D126)+1, FIND(",", D126)-FIND(" ", D126)-1) &amp; "-" &amp; LEFT(D126, FIND(" ", D126)-1) &amp; "-" &amp; RIGHT(D126, 4))), "20260101", TEXT(DATEVALUE(MID(D126, FIND(" ", D126)+1, FIND(",", D126)-FIND(" ", D126)-1) &amp; "-" &amp; LEFT(D126, FIND(" ", D126)-1) &amp; "-" &amp; RIGHT(D126, 4)), "YYYYMMDD"))</f>
        <v/>
      </c>
      <c r="I126" s="4" t="inlineStr">
        <is>
          <t>A</t>
        </is>
      </c>
    </row>
    <row r="127">
      <c r="A127" t="inlineStr">
        <is>
          <t>SCA 2025</t>
        </is>
      </c>
      <c r="B127" t="inlineStr">
        <is>
          <t>https://computeranimation.org/</t>
        </is>
      </c>
      <c r="C127" t="inlineStr">
        <is>
          <t>Vancouver, Canada</t>
        </is>
      </c>
      <c r="D127" s="6" t="n">
        <v>45750</v>
      </c>
      <c r="E127" s="6" t="n">
        <v>45750</v>
      </c>
      <c r="F127" s="7" t="n">
        <v>45877</v>
      </c>
      <c r="G127" t="inlineStr">
        <is>
          <t>Computer Animation; Graphics</t>
        </is>
      </c>
      <c r="H127" s="3">
        <f>IF(ISERROR(DATEVALUE(MID(D127, FIND(" ", D127)+1, FIND(",", D127)-FIND(" ", D127)-1) &amp; "-" &amp; LEFT(D127, FIND(" ", D127)-1) &amp; "-" &amp; RIGHT(D127, 4))), "20260101", TEXT(DATEVALUE(MID(D127, FIND(" ", D127)+1, FIND(",", D127)-FIND(" ", D127)-1) &amp; "-" &amp; LEFT(D127, FIND(" ", D127)-1) &amp; "-" &amp; RIGHT(D127, 4)), "YYYYMMDD"))</f>
        <v/>
      </c>
      <c r="I127" s="4" t="inlineStr">
        <is>
          <t>A</t>
        </is>
      </c>
    </row>
    <row r="128">
      <c r="A128" t="inlineStr">
        <is>
          <t>CC 2025</t>
        </is>
      </c>
      <c r="B128" t="inlineStr">
        <is>
          <t>https://conf.researchr.org/home/CC-2025</t>
        </is>
      </c>
      <c r="C128" t="inlineStr">
        <is>
          <t>Las Vegas, Nevada, USA</t>
        </is>
      </c>
      <c r="D128" s="6" t="n">
        <v>45608</v>
      </c>
      <c r="E128" s="6" t="n">
        <v>45608</v>
      </c>
      <c r="F128" s="7" t="n">
        <v>45717</v>
      </c>
      <c r="G128" t="inlineStr">
        <is>
          <t>Compiler Construction; Programming Languages</t>
        </is>
      </c>
      <c r="H128" s="3">
        <f>IF(ISERROR(DATEVALUE(MID(D128, FIND(" ", D128)+1, FIND(",", D128)-FIND(" ", D128)-1) &amp; "-" &amp; LEFT(D128, FIND(" ", D128)-1) &amp; "-" &amp; RIGHT(D128, 4))), "20260101", TEXT(DATEVALUE(MID(D128, FIND(" ", D128)+1, FIND(",", D128)-FIND(" ", D128)-1) &amp; "-" &amp; LEFT(D128, FIND(" ", D128)-1) &amp; "-" &amp; RIGHT(D128, 4)), "YYYYMMDD"))</f>
        <v/>
      </c>
      <c r="I128" s="4" t="inlineStr">
        <is>
          <t>A</t>
        </is>
      </c>
    </row>
    <row r="129">
      <c r="A129" t="inlineStr">
        <is>
          <t>CCC 2025</t>
        </is>
      </c>
      <c r="B129" s="2" t="inlineStr">
        <is>
          <t>https://computationalcomplexity.org/</t>
        </is>
      </c>
      <c r="C129" t="inlineStr">
        <is>
          <t>Chicago, Illinois, USA</t>
        </is>
      </c>
      <c r="D129" s="8" t="n">
        <v>45695</v>
      </c>
      <c r="E129" s="8" t="n">
        <v>45695</v>
      </c>
      <c r="F129" s="7" t="n">
        <v>45874</v>
      </c>
      <c r="G129" t="inlineStr">
        <is>
          <t>Theoretical Computer Science; Complexity</t>
        </is>
      </c>
      <c r="H129" s="3">
        <f>IF(ISERROR(DATEVALUE(MID(D129, FIND(" ", D129)+1, FIND(",", D129)-FIND(" ", D129)-1) &amp; "-" &amp; LEFT(D129, FIND(" ", D129)-1) &amp; "-" &amp; RIGHT(D129, 4))), "20260101", TEXT(DATEVALUE(MID(D129, FIND(" ", D129)+1, FIND(",", D129)-FIND(" ", D129)-1) &amp; "-" &amp; LEFT(D129, FIND(" ", D129)-1) &amp; "-" &amp; RIGHT(D129, 4)), "YYYYMMDD"))</f>
        <v/>
      </c>
      <c r="I129" s="4" t="inlineStr">
        <is>
          <t>A</t>
        </is>
      </c>
    </row>
    <row r="130">
      <c r="A130" t="inlineStr">
        <is>
          <t>CCGrid 2025</t>
        </is>
      </c>
      <c r="B130" t="inlineStr">
        <is>
          <t>https://conferences.computer.org/ccgrid/2025/</t>
        </is>
      </c>
      <c r="C130" t="inlineStr">
        <is>
          <t>Beijing, China</t>
        </is>
      </c>
      <c r="D130" s="6" t="n">
        <v>45748</v>
      </c>
      <c r="E130" s="6" t="n">
        <v>45755</v>
      </c>
      <c r="F130" s="7" t="n">
        <v>45789</v>
      </c>
      <c r="G130" t="inlineStr">
        <is>
          <t>Cluster Computing; Cloud; Grid</t>
        </is>
      </c>
      <c r="H130" s="3">
        <f>IF(ISERROR(DATEVALUE(MID(D130, FIND(" ", D130)+1, FIND(",", D130)-FIND(" ", D130)-1) &amp; "-" &amp; LEFT(D130, FIND(" ", D130)-1) &amp; "-" &amp; RIGHT(D130, 4))), "20260101", TEXT(DATEVALUE(MID(D130, FIND(" ", D130)+1, FIND(",", D130)-FIND(" ", D130)-1) &amp; "-" &amp; LEFT(D130, FIND(" ", D130)-1) &amp; "-" &amp; RIGHT(D130, 4)), "YYYYMMDD"))</f>
        <v/>
      </c>
      <c r="I130" s="4" t="inlineStr">
        <is>
          <t>A</t>
        </is>
      </c>
    </row>
    <row r="131">
      <c r="A131" t="inlineStr">
        <is>
          <t>CGO 2025</t>
        </is>
      </c>
      <c r="B131" t="inlineStr">
        <is>
          <t>https://www.ieee-cgo.org/2025/</t>
        </is>
      </c>
      <c r="C131" t="inlineStr">
        <is>
          <t>Dallas, Texas, USA</t>
        </is>
      </c>
      <c r="D131" s="6" t="n">
        <v>45580</v>
      </c>
      <c r="E131" s="6" t="n">
        <v>45587</v>
      </c>
      <c r="F131" s="7" t="n">
        <v>45711</v>
      </c>
      <c r="G131" t="inlineStr">
        <is>
          <t>Code Generation; Compiler Optimization</t>
        </is>
      </c>
      <c r="H131" s="3">
        <f>IF(ISERROR(DATEVALUE(MID(D131, FIND(" ", D131)+1, FIND(",", D131)-FIND(" ", D131)-1) &amp; "-" &amp; LEFT(D131, FIND(" ", D131)-1) &amp; "-" &amp; RIGHT(D131, 4))), "20260101", TEXT(DATEVALUE(MID(D131, FIND(" ", D131)+1, FIND(",", D131)-FIND(" ", D131)-1) &amp; "-" &amp; LEFT(D131, FIND(" ", D131)-1) &amp; "-" &amp; RIGHT(D131, 4)), "YYYYMMDD"))</f>
        <v/>
      </c>
      <c r="I131" s="4" t="inlineStr">
        <is>
          <t>A</t>
        </is>
      </c>
    </row>
    <row r="132">
      <c r="A132" t="inlineStr">
        <is>
          <t>CIDR 2025</t>
        </is>
      </c>
      <c r="B132" t="inlineStr">
        <is>
          <t>https://cidrdb.org/cidr2025/</t>
        </is>
      </c>
      <c r="C132" t="inlineStr">
        <is>
          <t>Asilomar, California, USA</t>
        </is>
      </c>
      <c r="D132" s="6" t="n">
        <v>45664</v>
      </c>
      <c r="E132" s="6" t="n">
        <v>45671</v>
      </c>
      <c r="F132" s="7" t="n">
        <v>45664</v>
      </c>
      <c r="G132" t="inlineStr">
        <is>
          <t>Data Systems; Database Research</t>
        </is>
      </c>
      <c r="H132" s="3">
        <f>IF(ISERROR(DATEVALUE(MID(D132, FIND(" ", D132)+1, FIND(",", D132)-FIND(" ", D132)-1) &amp; "-" &amp; LEFT(D132, FIND(" ", D132)-1) &amp; "-" &amp; RIGHT(D132, 4))), "20260101", TEXT(DATEVALUE(MID(D132, FIND(" ", D132)+1, FIND(",", D132)-FIND(" ", D132)-1) &amp; "-" &amp; LEFT(D132, FIND(" ", D132)-1) &amp; "-" &amp; RIGHT(D132, 4)), "YYYYMMDD"))</f>
        <v/>
      </c>
      <c r="I132" s="4" t="inlineStr">
        <is>
          <t>A</t>
        </is>
      </c>
    </row>
    <row r="133">
      <c r="A133" t="inlineStr">
        <is>
          <t>CIKM 2025</t>
        </is>
      </c>
      <c r="B133" t="inlineStr">
        <is>
          <t>https://www.cikm2025.org/</t>
        </is>
      </c>
      <c r="C133" t="inlineStr">
        <is>
          <t>Suzhou, China</t>
        </is>
      </c>
      <c r="D133" s="6" t="n">
        <v>45748</v>
      </c>
      <c r="E133" s="6" t="n">
        <v>45755</v>
      </c>
      <c r="F133" s="7" t="n">
        <v>45949</v>
      </c>
      <c r="G133" t="inlineStr">
        <is>
          <t>Information Retrieval; Knowledge Management</t>
        </is>
      </c>
      <c r="H133" s="3">
        <f>IF(ISERROR(DATEVALUE(MID(D133, FIND(" ", D133)+1, FIND(",", D133)-FIND(" ", D133)-1) &amp; "-" &amp; LEFT(D133, FIND(" ", D133)-1) &amp; "-" &amp; RIGHT(D133, 4))), "20260101", TEXT(DATEVALUE(MID(D133, FIND(" ", D133)+1, FIND(",", D133)-FIND(" ", D133)-1) &amp; "-" &amp; LEFT(D133, FIND(" ", D133)-1) &amp; "-" &amp; RIGHT(D133, 4)), "YYYYMMDD"))</f>
        <v/>
      </c>
      <c r="I133" s="4" t="inlineStr">
        <is>
          <t>A</t>
        </is>
      </c>
    </row>
    <row r="134">
      <c r="A134" t="inlineStr">
        <is>
          <t>CLUSTER 2025</t>
        </is>
      </c>
      <c r="B134" t="inlineStr">
        <is>
          <t>https://cluster2025.org/</t>
        </is>
      </c>
      <c r="C134" t="inlineStr">
        <is>
          <t>Vienna, Austria</t>
        </is>
      </c>
      <c r="D134" s="6" t="n">
        <v>45731</v>
      </c>
      <c r="E134" s="6" t="n">
        <v>45738</v>
      </c>
      <c r="F134" s="7" t="n">
        <v>45908</v>
      </c>
      <c r="G134" t="inlineStr">
        <is>
          <t>High-Performance Computing; Cluster Systems</t>
        </is>
      </c>
      <c r="H134" s="3">
        <f>IF(ISERROR(DATEVALUE(MID(D134, FIND(" ", D134)+1, FIND(",", D134)-FIND(" ", D134)-1) &amp; "-" &amp; LEFT(D134, FIND(" ", D134)-1) &amp; "-" &amp; RIGHT(D134, 4))), "20260101", TEXT(DATEVALUE(MID(D134, FIND(" ", D134)+1, FIND(",", D134)-FIND(" ", D134)-1) &amp; "-" &amp; LEFT(D134, FIND(" ", D134)-1) &amp; "-" &amp; RIGHT(D134, 4)), "YYYYMMDD"))</f>
        <v/>
      </c>
      <c r="I134" s="4" t="inlineStr">
        <is>
          <t>A</t>
        </is>
      </c>
    </row>
    <row r="135">
      <c r="A135" t="inlineStr">
        <is>
          <t>COCOON 2025</t>
        </is>
      </c>
      <c r="B135" t="inlineStr">
        <is>
          <t>https://cocoon2025.org/</t>
        </is>
      </c>
      <c r="C135" t="inlineStr">
        <is>
          <t>Singapore</t>
        </is>
      </c>
      <c r="D135" s="6" t="n">
        <v>45698</v>
      </c>
      <c r="E135" s="6" t="n">
        <v>45705</v>
      </c>
      <c r="F135" s="7" t="n">
        <v>45883</v>
      </c>
      <c r="G135" t="inlineStr">
        <is>
          <t>Algorithms; Combinatorics</t>
        </is>
      </c>
      <c r="H135" s="3">
        <f>IF(ISERROR(DATEVALUE(MID(D135, FIND(" ", D135)+1, FIND(",", D135)-FIND(" ", D135)-1) &amp; "-" &amp; LEFT(D135, FIND(" ", D135)-1) &amp; "-" &amp; RIGHT(D135, 4))), "20260101", TEXT(DATEVALUE(MID(D135, FIND(" ", D135)+1, FIND(",", D135)-FIND(" ", D135)-1) &amp; "-" &amp; LEFT(D135, FIND(" ", D135)-1) &amp; "-" &amp; RIGHT(D135, 4)), "YYYYMMDD"))</f>
        <v/>
      </c>
      <c r="I135" s="4" t="inlineStr">
        <is>
          <t>A</t>
        </is>
      </c>
    </row>
    <row r="136">
      <c r="A136" t="inlineStr">
        <is>
          <t>CogSci 2025</t>
        </is>
      </c>
      <c r="B136" t="inlineStr">
        <is>
          <t>https://cognitivesciencesociety.org/conference/2025/</t>
        </is>
      </c>
      <c r="C136" t="inlineStr">
        <is>
          <t>Seattle, Washington, USA</t>
        </is>
      </c>
      <c r="D136" s="6" t="n">
        <v>45566</v>
      </c>
      <c r="E136" s="6" t="n">
        <v>45573</v>
      </c>
      <c r="F136" s="7" t="n">
        <v>45862</v>
      </c>
      <c r="G136" t="inlineStr">
        <is>
          <t>Cognitive Science; Psychology; AI</t>
        </is>
      </c>
      <c r="H136" s="3">
        <f>IF(ISERROR(DATEVALUE(MID(D136, FIND(" ", D136)+1, FIND(",", D136)-FIND(" ", D136)-1) &amp; "-" &amp; LEFT(D136, FIND(" ", D136)-1) &amp; "-" &amp; RIGHT(D136, 4))), "20260101", TEXT(DATEVALUE(MID(D136, FIND(" ", D136)+1, FIND(",", D136)-FIND(" ", D136)-1) &amp; "-" &amp; LEFT(D136, FIND(" ", D136)-1) &amp; "-" &amp; RIGHT(D136, 4)), "YYYYMMDD"))</f>
        <v/>
      </c>
      <c r="I136" s="4" t="inlineStr">
        <is>
          <t>A</t>
        </is>
      </c>
    </row>
    <row r="137">
      <c r="A137" t="inlineStr">
        <is>
          <t>COLING 2024</t>
        </is>
      </c>
      <c r="B137" t="inlineStr">
        <is>
          <t>https://coling2024.org/</t>
        </is>
      </c>
      <c r="C137" t="inlineStr">
        <is>
          <t>Dhaka, Bangladesh</t>
        </is>
      </c>
      <c r="D137" s="6" t="n">
        <v>45335</v>
      </c>
      <c r="E137" s="6" t="n">
        <v>45342</v>
      </c>
      <c r="F137" s="7" t="n">
        <v>45638</v>
      </c>
      <c r="G137" t="inlineStr">
        <is>
          <t>Computational Linguistics; NLP</t>
        </is>
      </c>
      <c r="H137" s="3">
        <f>IF(ISERROR(DATEVALUE(MID(D137, FIND(" ", D137)+1, FIND(",", D137)-FIND(" ", D137)-1) &amp; "-" &amp; LEFT(D137, FIND(" ", D137)-1) &amp; "-" &amp; RIGHT(D137, 4))), "20260101", TEXT(DATEVALUE(MID(D137, FIND(" ", D137)+1, FIND(",", D137)-FIND(" ", D137)-1) &amp; "-" &amp; LEFT(D137, FIND(" ", D137)-1) &amp; "-" &amp; RIGHT(D137, 4)), "YYYYMMDD"))</f>
        <v/>
      </c>
      <c r="I137" s="4" t="inlineStr">
        <is>
          <t>A</t>
        </is>
      </c>
    </row>
    <row r="138">
      <c r="A138" t="inlineStr">
        <is>
          <t>CONCUR 2025</t>
        </is>
      </c>
      <c r="B138" t="inlineStr">
        <is>
          <t>https://concur2025.org/</t>
        </is>
      </c>
      <c r="C138" t="inlineStr">
        <is>
          <t>Paris, France</t>
        </is>
      </c>
      <c r="D138" s="6" t="n">
        <v>45754</v>
      </c>
      <c r="E138" s="6" t="n">
        <v>45761</v>
      </c>
      <c r="F138" s="7" t="n">
        <v>45910</v>
      </c>
      <c r="G138" t="inlineStr">
        <is>
          <t>Concurrency; Formal Verification</t>
        </is>
      </c>
      <c r="H138" s="3">
        <f>IF(ISERROR(DATEVALUE(MID(D138, FIND(" ", D138)+1, FIND(",", D138)-FIND(" ", D138)-1) &amp; "-" &amp; LEFT(D138, FIND(" ", D138)-1) &amp; "-" &amp; RIGHT(D138, 4))), "20260101", TEXT(DATEVALUE(MID(D138, FIND(" ", D138)+1, FIND(",", D138)-FIND(" ", D138)-1) &amp; "-" &amp; LEFT(D138, FIND(" ", D138)-1) &amp; "-" &amp; RIGHT(D138, 4)), "YYYYMMDD"))</f>
        <v/>
      </c>
      <c r="I138" s="4" t="inlineStr">
        <is>
          <t>A</t>
        </is>
      </c>
    </row>
    <row r="139">
      <c r="A139" t="inlineStr">
        <is>
          <t>CoNLL 2025</t>
        </is>
      </c>
      <c r="B139" t="inlineStr">
        <is>
          <t>https://conll2025.org/</t>
        </is>
      </c>
      <c r="C139" t="inlineStr">
        <is>
          <t>Athens, Greece</t>
        </is>
      </c>
      <c r="D139" s="6" t="n">
        <v>45731</v>
      </c>
      <c r="E139" s="6" t="n">
        <v>45738</v>
      </c>
      <c r="F139" s="7" t="n">
        <v>45839</v>
      </c>
      <c r="G139" t="inlineStr">
        <is>
          <t>Natural Language Processing; Machine Learning</t>
        </is>
      </c>
      <c r="H139" s="3">
        <f>IF(ISERROR(DATEVALUE(MID(D139, FIND(" ", D139)+1, FIND(",", D139)-FIND(" ", D139)-1) &amp; "-" &amp; LEFT(D139, FIND(" ", D139)-1) &amp; "-" &amp; RIGHT(D139, 4))), "20260101", TEXT(DATEVALUE(MID(D139, FIND(" ", D139)+1, FIND(",", D139)-FIND(" ", D139)-1) &amp; "-" &amp; LEFT(D139, FIND(" ", D139)-1) &amp; "-" &amp; RIGHT(D139, 4)), "YYYYMMDD"))</f>
        <v/>
      </c>
      <c r="I139" s="4" t="inlineStr">
        <is>
          <t>A</t>
        </is>
      </c>
    </row>
    <row r="140">
      <c r="A140" t="inlineStr">
        <is>
          <t>CoopIS 2025</t>
        </is>
      </c>
      <c r="B140" t="inlineStr">
        <is>
          <t>https://coopis2025.org/</t>
        </is>
      </c>
      <c r="C140" t="inlineStr">
        <is>
          <t>Basel, Switzerland</t>
        </is>
      </c>
      <c r="D140" s="6" t="n">
        <v>45796</v>
      </c>
      <c r="E140" s="6" t="n">
        <v>45803</v>
      </c>
      <c r="F140" s="7" t="n">
        <v>45965</v>
      </c>
      <c r="G140" t="inlineStr">
        <is>
          <t>Distributed Systems; Web Services</t>
        </is>
      </c>
      <c r="H140" s="3">
        <f>IF(ISERROR(DATEVALUE(MID(D140, FIND(" ", D140)+1, FIND(",", D140)-FIND(" ", D140)-1) &amp; "-" &amp; LEFT(D140, FIND(" ", D140)-1) &amp; "-" &amp; RIGHT(D140, 4))), "20260101", TEXT(DATEVALUE(MID(D140, FIND(" ", D140)+1, FIND(",", D140)-FIND(" ", D140)-1) &amp; "-" &amp; LEFT(D140, FIND(" ", D140)-1) &amp; "-" &amp; RIGHT(D140, 4)), "YYYYMMDD"))</f>
        <v/>
      </c>
      <c r="I140" s="4" t="inlineStr">
        <is>
          <t>A</t>
        </is>
      </c>
    </row>
    <row r="141">
      <c r="A141" t="inlineStr">
        <is>
          <t>Coordination 2025</t>
        </is>
      </c>
      <c r="B141" t="inlineStr">
        <is>
          <t>https://coordination2025.org/</t>
        </is>
      </c>
      <c r="C141" t="inlineStr">
        <is>
          <t>Edinburgh, UK</t>
        </is>
      </c>
      <c r="D141" s="6" t="n">
        <v>45712</v>
      </c>
      <c r="E141" s="6" t="n">
        <v>45719</v>
      </c>
      <c r="F141" s="7" t="n">
        <v>45824</v>
      </c>
      <c r="G141" t="inlineStr">
        <is>
          <t>Coordination; Concurrency</t>
        </is>
      </c>
      <c r="H141" s="3">
        <f>IF(ISERROR(DATEVALUE(MID(D141, FIND(" ", D141)+1, FIND(",", D141)-FIND(" ", D141)-1) &amp; "-" &amp; LEFT(D141, FIND(" ", D141)-1) &amp; "-" &amp; RIGHT(D141, 4))), "20260101", TEXT(DATEVALUE(MID(D141, FIND(" ", D141)+1, FIND(",", D141)-FIND(" ", D141)-1) &amp; "-" &amp; LEFT(D141, FIND(" ", D141)-1) &amp; "-" &amp; RIGHT(D141, 4)), "YYYYMMDD"))</f>
        <v/>
      </c>
      <c r="I141" s="4" t="inlineStr">
        <is>
          <t>A</t>
        </is>
      </c>
    </row>
    <row r="142">
      <c r="A142" t="inlineStr">
        <is>
          <t>International Conference on Principles and Practice of Constraint Programming (CP 2024)</t>
        </is>
      </c>
      <c r="B142" t="inlineStr">
        <is>
          <t>https://cp2024.a4cp.org/</t>
        </is>
      </c>
      <c r="C142" t="inlineStr">
        <is>
          <t>Girona, Spain</t>
        </is>
      </c>
      <c r="D142" s="6" t="n">
        <v>45400</v>
      </c>
      <c r="E142" s="6" t="n">
        <v>45408</v>
      </c>
      <c r="F142" s="7" t="n">
        <v>45537</v>
      </c>
      <c r="G142" t="inlineStr">
        <is>
          <t>Constraint Programming</t>
        </is>
      </c>
      <c r="H142" s="3">
        <f>IF(ISERROR(DATEVALUE(MID(D142, FIND(" ", D142)+1, FIND(",", D142)-FIND(" ", D142)-1) &amp; "-" &amp; LEFT(D142, FIND(" ", D142)-1) &amp; "-" &amp; RIGHT(D142, 4))), "20260101", TEXT(DATEVALUE(MID(D142, FIND(" ", D142)+1, FIND(",", D142)-FIND(" ", D142)-1) &amp; "-" &amp; LEFT(D142, FIND(" ", D142)-1) &amp; "-" &amp; RIGHT(D142, 4)), "YYYYMMDD"))</f>
        <v/>
      </c>
      <c r="I142" s="4" t="inlineStr">
        <is>
          <t>A</t>
        </is>
      </c>
    </row>
    <row r="143">
      <c r="A143" t="inlineStr">
        <is>
          <t>IEEE Computational Systems Bioinformatics Conference (CSB 2024)</t>
        </is>
      </c>
      <c r="B143" t="inlineStr">
        <is>
          <t>https://www.wikicfp.com/cfp/program?id=590</t>
        </is>
      </c>
      <c r="C143" t="inlineStr">
        <is>
          <t>San Francisco, CA, USA</t>
        </is>
      </c>
      <c r="D143" s="6" t="n">
        <v>45387</v>
      </c>
      <c r="E143" s="6" t="n">
        <v>45387</v>
      </c>
      <c r="F143" s="7" t="n">
        <v>45509</v>
      </c>
      <c r="G143" t="inlineStr">
        <is>
          <t>Computational Systems Biology</t>
        </is>
      </c>
      <c r="H143" s="3">
        <f>IF(ISERROR(DATEVALUE(MID(D143, FIND(" ", D143)+1, FIND(",", D143)-FIND(" ", D143)-1) &amp; "-" &amp; LEFT(D143, FIND(" ", D143)-1) &amp; "-" &amp; RIGHT(D143, 4))), "20260101", TEXT(DATEVALUE(MID(D143, FIND(" ", D143)+1, FIND(",", D143)-FIND(" ", D143)-1) &amp; "-" &amp; LEFT(D143, FIND(" ", D143)-1) &amp; "-" &amp; RIGHT(D143, 4)), "YYYYMMDD"))</f>
        <v/>
      </c>
      <c r="I143" s="4" t="inlineStr">
        <is>
          <t>A</t>
        </is>
      </c>
    </row>
    <row r="144">
      <c r="A144" t="inlineStr">
        <is>
          <t>ACM Conference on Computer-Supported Cooperative Work &amp; Social Computing (CSCW 2025)</t>
        </is>
      </c>
      <c r="B144" t="inlineStr">
        <is>
          <t>https://cscw.acm.org/2025/</t>
        </is>
      </c>
      <c r="C144" t="inlineStr">
        <is>
          <t>Seattle, WA, USA</t>
        </is>
      </c>
      <c r="D144" s="6" t="n">
        <v>45790</v>
      </c>
      <c r="E144" s="6" t="n">
        <v>45790</v>
      </c>
      <c r="F144" s="7" t="n">
        <v>45970</v>
      </c>
      <c r="G144" t="inlineStr">
        <is>
          <t>CSCW; Social Computing</t>
        </is>
      </c>
      <c r="H144" s="3">
        <f>IF(ISERROR(DATEVALUE(MID(D144, FIND(" ", D144)+1, FIND(",", D144)-FIND(" ", D144)-1) &amp; "-" &amp; LEFT(D144, FIND(" ", D144)-1) &amp; "-" &amp; RIGHT(D144, 4))), "20260101", TEXT(DATEVALUE(MID(D144, FIND(" ", D144)+1, FIND(",", D144)-FIND(" ", D144)-1) &amp; "-" &amp; LEFT(D144, FIND(" ", D144)-1) &amp; "-" &amp; RIGHT(D144, 4)), "YYYYMMDD"))</f>
        <v/>
      </c>
      <c r="I144" s="4" t="inlineStr">
        <is>
          <t>A</t>
        </is>
      </c>
    </row>
    <row r="145">
      <c r="A145" t="inlineStr">
        <is>
          <t>IEEE Computer Security Foundations Symposium (CSF 2025)</t>
        </is>
      </c>
      <c r="B145" t="inlineStr">
        <is>
          <t>https://csf2025.ieee-security.org/</t>
        </is>
      </c>
      <c r="C145" t="inlineStr">
        <is>
          <t>Santa Cruz, CA, USA</t>
        </is>
      </c>
      <c r="D145" s="6" t="n">
        <v>45566</v>
      </c>
      <c r="E145" s="6" t="n">
        <v>45566</v>
      </c>
      <c r="F145" s="7" t="n">
        <v>45824</v>
      </c>
      <c r="G145" t="inlineStr">
        <is>
          <t>Computer Security; Formal Methods</t>
        </is>
      </c>
      <c r="H145" s="3">
        <f>IF(ISERROR(DATEVALUE(MID(D145, FIND(" ", D145)+1, FIND(",", D145)-FIND(" ", D145)-1) &amp; "-" &amp; LEFT(D145, FIND(" ", D145)-1) &amp; "-" &amp; RIGHT(D145, 4))), "20260101", TEXT(DATEVALUE(MID(D145, FIND(" ", D145)+1, FIND(",", D145)-FIND(" ", D145)-1) &amp; "-" &amp; LEFT(D145, FIND(" ", D145)-1) &amp; "-" &amp; RIGHT(D145, 4)), "YYYYMMDD"))</f>
        <v/>
      </c>
      <c r="I145" s="4" t="inlineStr">
        <is>
          <t>A</t>
        </is>
      </c>
    </row>
    <row r="146">
      <c r="A146" t="inlineStr">
        <is>
          <t>Cognitive Science Society Annual Conference (CSSAC 2025)</t>
        </is>
      </c>
      <c r="B146" t="inlineStr">
        <is>
          <t>https://cognitivesciencesociety.org/conference/2025/</t>
        </is>
      </c>
      <c r="C146" t="inlineStr">
        <is>
          <t>Seattle, WA, USA</t>
        </is>
      </c>
      <c r="D146" s="6" t="n">
        <v>45691</v>
      </c>
      <c r="E146" s="6" t="n">
        <v>45691</v>
      </c>
      <c r="F146" s="7" t="n">
        <v>45868</v>
      </c>
      <c r="G146" t="inlineStr">
        <is>
          <t>Cognitive Science; Psychology; AI</t>
        </is>
      </c>
      <c r="H146" s="3">
        <f>IF(ISERROR(DATEVALUE(MID(D146, FIND(" ", D146)+1, FIND(",", D146)-FIND(" ", D146)-1) &amp; "-" &amp; LEFT(D146, FIND(" ", D146)-1) &amp; "-" &amp; RIGHT(D146, 4))), "20260101", TEXT(DATEVALUE(MID(D146, FIND(" ", D146)+1, FIND(",", D146)-FIND(" ", D146)-1) &amp; "-" &amp; LEFT(D146, FIND(" ", D146)-1) &amp; "-" &amp; RIGHT(D146, 4)), "YYYYMMDD"))</f>
        <v/>
      </c>
      <c r="I146" s="4" t="inlineStr">
        <is>
          <t>A</t>
        </is>
      </c>
    </row>
    <row r="147">
      <c r="A147" t="inlineStr">
        <is>
          <t>IEEE/CVF Conference on Computer Vision and Pattern Recognition (CVPR 2025)</t>
        </is>
      </c>
      <c r="B147" t="inlineStr">
        <is>
          <t>https://cvpr.thecvf.com/Conferences/2025/Dates</t>
        </is>
      </c>
      <c r="C147" t="inlineStr">
        <is>
          <t>New Orleans, LA, USA</t>
        </is>
      </c>
      <c r="D147" s="6" t="n">
        <v>45604</v>
      </c>
      <c r="E147" s="6" t="n">
        <v>45611</v>
      </c>
      <c r="F147" s="7" t="n">
        <v>45821</v>
      </c>
      <c r="G147" t="inlineStr">
        <is>
          <t>Computer Vision; Pattern Recognition</t>
        </is>
      </c>
      <c r="H147" s="3">
        <f>IF(ISERROR(DATEVALUE(MID(D147, FIND(" ", D147)+1, FIND(",", D147)-FIND(" ", D147)-1) &amp; "-" &amp; LEFT(D147, FIND(" ", D147)-1) &amp; "-" &amp; RIGHT(D147, 4))), "20260101", TEXT(DATEVALUE(MID(D147, FIND(" ", D147)+1, FIND(",", D147)-FIND(" ", D147)-1) &amp; "-" &amp; LEFT(D147, FIND(" ", D147)-1) &amp; "-" &amp; RIGHT(D147, 4)), "YYYYMMDD"))</f>
        <v/>
      </c>
      <c r="I147" s="4" t="inlineStr">
        <is>
          <t>A</t>
        </is>
      </c>
    </row>
    <row r="148">
      <c r="A148" t="inlineStr">
        <is>
          <t>International Conf. on Database Systems for Advanced Applications (DASFAA 2025)</t>
        </is>
      </c>
      <c r="B148" t="inlineStr">
        <is>
          <t>https://dasfaa2025.github.io/</t>
        </is>
      </c>
      <c r="C148" t="inlineStr">
        <is>
          <t>Singapore</t>
        </is>
      </c>
      <c r="D148" s="6" t="n">
        <v>45600</v>
      </c>
      <c r="E148" s="6" t="n">
        <v>45600</v>
      </c>
      <c r="F148" s="7" t="n">
        <v>45803</v>
      </c>
      <c r="G148" t="inlineStr">
        <is>
          <t>Databases; Data Management</t>
        </is>
      </c>
      <c r="H148" s="3">
        <f>IF(ISERROR(DATEVALUE(MID(D148, FIND(" ", D148)+1, FIND(",", D148)-FIND(" ", D148)-1) &amp; "-" &amp; LEFT(D148, FIND(" ", D148)-1) &amp; "-" &amp; RIGHT(D148, 4))), "20260101", TEXT(DATEVALUE(MID(D148, FIND(" ", D148)+1, FIND(",", D148)-FIND(" ", D148)-1) &amp; "-" &amp; LEFT(D148, FIND(" ", D148)-1) &amp; "-" &amp; RIGHT(D148, 4)), "YYYYMMDD"))</f>
        <v/>
      </c>
      <c r="I148" s="4" t="inlineStr">
        <is>
          <t>A</t>
        </is>
      </c>
    </row>
    <row r="149">
      <c r="A149" t="inlineStr">
        <is>
          <t>Design Science Research in Information Systems &amp; Technology (DESRIST 2025)</t>
        </is>
      </c>
      <c r="B149" t="inlineStr">
        <is>
          <t>https://desrist2025.org/</t>
        </is>
      </c>
      <c r="C149" t="inlineStr">
        <is>
          <t>Bridgetown, Barbados</t>
        </is>
      </c>
      <c r="D149" s="6" t="n">
        <v>45693</v>
      </c>
      <c r="E149" s="6" t="n">
        <v>45693</v>
      </c>
      <c r="F149" s="7" t="n">
        <v>45810</v>
      </c>
      <c r="G149" t="inlineStr">
        <is>
          <t>Design Science; Information Systems</t>
        </is>
      </c>
      <c r="H149" s="3">
        <f>IF(ISERROR(DATEVALUE(MID(D149, FIND(" ", D149)+1, FIND(",", D149)-FIND(" ", D149)-1) &amp; "-" &amp; LEFT(D149, FIND(" ", D149)-1) &amp; "-" &amp; RIGHT(D149, 4))), "20260101", TEXT(DATEVALUE(MID(D149, FIND(" ", D149)+1, FIND(",", D149)-FIND(" ", D149)-1) &amp; "-" &amp; LEFT(D149, FIND(" ", D149)-1) &amp; "-" &amp; RIGHT(D149, 4)), "YYYYMMDD"))</f>
        <v/>
      </c>
      <c r="I149" s="4" t="inlineStr">
        <is>
          <t>A</t>
        </is>
      </c>
    </row>
    <row r="150">
      <c r="A150" t="inlineStr">
        <is>
          <t>International Symposium on Distributed Computing (DISC 2025)</t>
        </is>
      </c>
      <c r="B150" t="inlineStr">
        <is>
          <t>https://disc-conference.org/wp/disc2025/</t>
        </is>
      </c>
      <c r="C150" t="inlineStr">
        <is>
          <t>Hong Kong</t>
        </is>
      </c>
      <c r="D150" s="6" t="n">
        <v>45756</v>
      </c>
      <c r="E150" s="6" t="n">
        <v>45763</v>
      </c>
      <c r="F150" s="7" t="n">
        <v>45936</v>
      </c>
      <c r="G150" t="inlineStr">
        <is>
          <t>Distributed Algorithms; Theory</t>
        </is>
      </c>
      <c r="H150" s="3">
        <f>IF(ISERROR(DATEVALUE(MID(D150, FIND(" ", D150)+1, FIND(",", D150)-FIND(" ", D150)-1) &amp; "-" &amp; LEFT(D150, FIND(" ", D150)-1) &amp; "-" &amp; RIGHT(D150, 4))), "20260101", TEXT(DATEVALUE(MID(D150, FIND(" ", D150)+1, FIND(",", D150)-FIND(" ", D150)-1) &amp; "-" &amp; LEFT(D150, FIND(" ", D150)-1) &amp; "-" &amp; RIGHT(D150, 4)), "YYYYMMDD"))</f>
        <v/>
      </c>
      <c r="I150" s="4" t="inlineStr">
        <is>
          <t>A</t>
        </is>
      </c>
    </row>
    <row r="151">
      <c r="A151" t="inlineStr">
        <is>
          <t>IEEE International Conference on e-Science (e-Science 2025)</t>
        </is>
      </c>
      <c r="B151" t="inlineStr">
        <is>
          <t>https://escience-conference.org/2025/</t>
        </is>
      </c>
      <c r="C151" t="inlineStr">
        <is>
          <t>Niagara Falls, Canada</t>
        </is>
      </c>
      <c r="D151" s="6" t="n">
        <v>45723</v>
      </c>
      <c r="E151" s="6" t="n">
        <v>45730</v>
      </c>
      <c r="F151" s="7" t="n">
        <v>45922</v>
      </c>
      <c r="G151" t="inlineStr">
        <is>
          <t>e-Science; High-Performance Computing</t>
        </is>
      </c>
      <c r="H151" s="3">
        <f>IF(ISERROR(DATEVALUE(MID(D151, FIND(" ", D151)+1, FIND(",", D151)-FIND(" ", D151)-1) &amp; "-" &amp; LEFT(D151, FIND(" ", D151)-1) &amp; "-" &amp; RIGHT(D151, 4))), "20260101", TEXT(DATEVALUE(MID(D151, FIND(" ", D151)+1, FIND(",", D151)-FIND(" ", D151)-1) &amp; "-" &amp; LEFT(D151, FIND(" ", D151)-1) &amp; "-" &amp; RIGHT(D151, 4)), "YYYYMMDD"))</f>
        <v/>
      </c>
      <c r="I151" s="4" t="inlineStr">
        <is>
          <t>A</t>
        </is>
      </c>
    </row>
    <row r="152">
      <c r="A152" t="inlineStr">
        <is>
          <t>European Chapter ACL Conference (EACL 2025)</t>
        </is>
      </c>
      <c r="B152" t="inlineStr">
        <is>
          <t>https://eacl2025.org/</t>
        </is>
      </c>
      <c r="C152" t="inlineStr">
        <is>
          <t>Barcelona, Spain</t>
        </is>
      </c>
      <c r="D152" s="6" t="n">
        <v>45540</v>
      </c>
      <c r="E152" s="6" t="n">
        <v>45547</v>
      </c>
      <c r="F152" s="7" t="n">
        <v>45747</v>
      </c>
      <c r="G152" t="inlineStr">
        <is>
          <t>Natural Language Processing</t>
        </is>
      </c>
      <c r="H152" s="3">
        <f>IF(ISERROR(DATEVALUE(MID(D152, FIND(" ", D152)+1, FIND(",", D152)-FIND(" ", D152)-1) &amp; "-" &amp; LEFT(D152, FIND(" ", D152)-1) &amp; "-" &amp; RIGHT(D152, 4))), "20260101", TEXT(DATEVALUE(MID(D152, FIND(" ", D152)+1, FIND(",", D152)-FIND(" ", D152)-1) &amp; "-" &amp; LEFT(D152, FIND(" ", D152)-1) &amp; "-" &amp; RIGHT(D152, 4)), "YYYYMMDD"))</f>
        <v/>
      </c>
      <c r="I152" s="4" t="inlineStr">
        <is>
          <t>A</t>
        </is>
      </c>
    </row>
    <row r="153">
      <c r="A153" t="inlineStr">
        <is>
          <t>International Conf. on Evaluation &amp; Assessment in Software Engineering (EASE 2025)</t>
        </is>
      </c>
      <c r="B153" t="inlineStr">
        <is>
          <t>https://conf.researchr.org/home/ease-2025</t>
        </is>
      </c>
      <c r="C153" t="inlineStr">
        <is>
          <t>Gothenburg, Sweden</t>
        </is>
      </c>
      <c r="D153" s="6" t="n">
        <v>45632</v>
      </c>
      <c r="E153" s="6" t="n">
        <v>45632</v>
      </c>
      <c r="F153" s="7" t="n">
        <v>45819</v>
      </c>
      <c r="G153" t="inlineStr">
        <is>
          <t>Software Engineering; Empirical Studies</t>
        </is>
      </c>
      <c r="H153" s="3">
        <f>IF(ISERROR(DATEVALUE(MID(D153, FIND(" ", D153)+1, FIND(",", D153)-FIND(" ", D153)-1) &amp; "-" &amp; LEFT(D153, FIND(" ", D153)-1) &amp; "-" &amp; RIGHT(D153, 4))), "20260101", TEXT(DATEVALUE(MID(D153, FIND(" ", D153)+1, FIND(",", D153)-FIND(" ", D153)-1) &amp; "-" &amp; LEFT(D153, FIND(" ", D153)-1) &amp; "-" &amp; RIGHT(D153, 4)), "YYYYMMDD"))</f>
        <v/>
      </c>
      <c r="I153" s="4" t="inlineStr">
        <is>
          <t>A</t>
        </is>
      </c>
    </row>
    <row r="154">
      <c r="A154" t="inlineStr">
        <is>
          <t>European Conference on Artificial Intelligence (ECAI 2025)</t>
        </is>
      </c>
      <c r="B154" t="inlineStr">
        <is>
          <t>https://ecai2025.eu/</t>
        </is>
      </c>
      <c r="C154" t="inlineStr">
        <is>
          <t>Madrid, Spain</t>
        </is>
      </c>
      <c r="D154" s="6" t="n">
        <v>45670</v>
      </c>
      <c r="E154" s="6" t="n">
        <v>45677</v>
      </c>
      <c r="F154" s="7" t="n">
        <v>45894</v>
      </c>
      <c r="G154" t="inlineStr">
        <is>
          <t>Artificial Intelligence</t>
        </is>
      </c>
      <c r="H154" s="3">
        <f>IF(ISERROR(DATEVALUE(MID(D154, FIND(" ", D154)+1, FIND(",", D154)-FIND(" ", D154)-1) &amp; "-" &amp; LEFT(D154, FIND(" ", D154)-1) &amp; "-" &amp; RIGHT(D154, 4))), "20260101", TEXT(DATEVALUE(MID(D154, FIND(" ", D154)+1, FIND(",", D154)-FIND(" ", D154)-1) &amp; "-" &amp; LEFT(D154, FIND(" ", D154)-1) &amp; "-" &amp; RIGHT(D154, 4)), "YYYYMMDD"))</f>
        <v/>
      </c>
      <c r="I154" s="4" t="inlineStr">
        <is>
          <t>A</t>
        </is>
      </c>
    </row>
    <row r="155">
      <c r="A155" t="inlineStr">
        <is>
          <t>European Conference on Computer Vision (ECCV 2024)</t>
        </is>
      </c>
      <c r="B155" t="inlineStr">
        <is>
          <t>https://eccv2024.ecva.net/</t>
        </is>
      </c>
      <c r="C155" t="inlineStr">
        <is>
          <t>Milan, Italy</t>
        </is>
      </c>
      <c r="D155" s="6" t="n">
        <v>45358</v>
      </c>
      <c r="E155" s="6" t="n">
        <v>45365</v>
      </c>
      <c r="F155" s="7" t="n">
        <v>45564</v>
      </c>
      <c r="G155" t="inlineStr">
        <is>
          <t>Computer Vision</t>
        </is>
      </c>
      <c r="H155" s="3">
        <f>IF(ISERROR(DATEVALUE(MID(D155, FIND(" ", D155)+1, FIND(",", D155)-FIND(" ", D155)-1) &amp; "-" &amp; LEFT(D155, FIND(" ", D155)-1) &amp; "-" &amp; RIGHT(D155, 4))), "20260101", TEXT(DATEVALUE(MID(D155, FIND(" ", D155)+1, FIND(",", D155)-FIND(" ", D155)-1) &amp; "-" &amp; LEFT(D155, FIND(" ", D155)-1) &amp; "-" &amp; RIGHT(D155, 4)), "YYYYMMDD"))</f>
        <v/>
      </c>
      <c r="I155" s="4" t="inlineStr">
        <is>
          <t>A</t>
        </is>
      </c>
    </row>
    <row r="156">
      <c r="A156" t="inlineStr">
        <is>
          <t>European Conf. on Information Systems (ECIS 2025)</t>
        </is>
      </c>
      <c r="B156" t="inlineStr">
        <is>
          <t>https://ecis2025.aisconferences.org/</t>
        </is>
      </c>
      <c r="C156" t="inlineStr">
        <is>
          <t>Porto, Portugal</t>
        </is>
      </c>
      <c r="D156" s="6" t="n">
        <v>45676</v>
      </c>
      <c r="E156" s="6" t="n">
        <v>45683</v>
      </c>
      <c r="F156" s="7" t="n">
        <v>45817</v>
      </c>
      <c r="G156" t="inlineStr">
        <is>
          <t>Information Systems</t>
        </is>
      </c>
      <c r="H156" s="3">
        <f>IF(ISERROR(DATEVALUE(MID(D156, FIND(" ", D156)+1, FIND(",", D156)-FIND(" ", D156)-1) &amp; "-" &amp; LEFT(D156, FIND(" ", D156)-1) &amp; "-" &amp; RIGHT(D156, 4))), "20260101", TEXT(DATEVALUE(MID(D156, FIND(" ", D156)+1, FIND(",", D156)-FIND(" ", D156)-1) &amp; "-" &amp; LEFT(D156, FIND(" ", D156)-1) &amp; "-" &amp; RIGHT(D156, 4)), "YYYYMMDD"))</f>
        <v/>
      </c>
      <c r="I156" s="4" t="inlineStr">
        <is>
          <t>A</t>
        </is>
      </c>
    </row>
    <row r="157">
      <c r="A157" t="inlineStr">
        <is>
          <t>European Conference on Machine Learning &amp; Principles and Practice of Knowledge Discovery in Databases (ECML-PKDD 2025)</t>
        </is>
      </c>
      <c r="B157" t="inlineStr">
        <is>
          <t>https://2025.ecmlpkdd.org/</t>
        </is>
      </c>
      <c r="C157" t="inlineStr">
        <is>
          <t>Thessaloniki, Greece</t>
        </is>
      </c>
      <c r="D157" s="6" t="n">
        <v>45737</v>
      </c>
      <c r="E157" s="6" t="n">
        <v>45744</v>
      </c>
      <c r="F157" s="7" t="n">
        <v>45915</v>
      </c>
      <c r="G157" t="inlineStr">
        <is>
          <t>Machine Learning; Data Mining</t>
        </is>
      </c>
      <c r="H157" s="3">
        <f>IF(ISERROR(DATEVALUE(MID(D157, FIND(" ", D157)+1, FIND(",", D157)-FIND(" ", D157)-1) &amp; "-" &amp; LEFT(D157, FIND(" ", D157)-1) &amp; "-" &amp; RIGHT(D157, 4))), "20260101", TEXT(DATEVALUE(MID(D157, FIND(" ", D157)+1, FIND(",", D157)-FIND(" ", D157)-1) &amp; "-" &amp; LEFT(D157, FIND(" ", D157)-1) &amp; "-" &amp; RIGHT(D157, 4)), "YYYYMMDD"))</f>
        <v/>
      </c>
      <c r="I157" s="4" t="inlineStr">
        <is>
          <t>A</t>
        </is>
      </c>
    </row>
    <row r="158">
      <c r="A158" t="inlineStr">
        <is>
          <t>European Conf. on Object-Oriented Programming (ECOOP 2025)</t>
        </is>
      </c>
      <c r="B158" t="inlineStr">
        <is>
          <t>https://2025.ecoop.org/</t>
        </is>
      </c>
      <c r="C158" t="inlineStr">
        <is>
          <t>Toulouse, France</t>
        </is>
      </c>
      <c r="D158" s="6" t="n">
        <v>45674</v>
      </c>
      <c r="E158" s="6" t="n">
        <v>45674</v>
      </c>
      <c r="F158" s="7" t="n">
        <v>45845</v>
      </c>
      <c r="G158" t="inlineStr">
        <is>
          <t>Programming Languages; Object-Oriented Technology</t>
        </is>
      </c>
      <c r="H158" s="3">
        <f>IF(ISERROR(DATEVALUE(MID(D158, FIND(" ", D158)+1, FIND(",", D158)-FIND(" ", D158)-1) &amp; "-" &amp; LEFT(D158, FIND(" ", D158)-1) &amp; "-" &amp; RIGHT(D158, 4))), "20260101", TEXT(DATEVALUE(MID(D158, FIND(" ", D158)+1, FIND(",", D158)-FIND(" ", D158)-1) &amp; "-" &amp; LEFT(D158, FIND(" ", D158)-1) &amp; "-" &amp; RIGHT(D158, 4)), "YYYYMMDD"))</f>
        <v/>
      </c>
      <c r="I158" s="4" t="inlineStr">
        <is>
          <t>A</t>
        </is>
      </c>
    </row>
    <row r="159">
      <c r="A159" t="inlineStr">
        <is>
          <t>International Conference on Extending Database Technology (EDBT 2025)</t>
        </is>
      </c>
      <c r="B159" t="inlineStr">
        <is>
          <t>https://edbticdt2025.github.io/</t>
        </is>
      </c>
      <c r="C159" t="inlineStr">
        <is>
          <t>Munich, Germany</t>
        </is>
      </c>
      <c r="D159" s="6" t="n">
        <v>45583</v>
      </c>
      <c r="E159" s="6" t="n">
        <v>45590</v>
      </c>
      <c r="F159" s="7" t="n">
        <v>45740</v>
      </c>
      <c r="G159" t="inlineStr">
        <is>
          <t>Databases; Data Management</t>
        </is>
      </c>
      <c r="H159" s="3">
        <f>IF(ISERROR(DATEVALUE(MID(D159, FIND(" ", D159)+1, FIND(",", D159)-FIND(" ", D159)-1) &amp; "-" &amp; LEFT(D159, FIND(" ", D159)-1) &amp; "-" &amp; RIGHT(D159, 4))), "20260101", TEXT(DATEVALUE(MID(D159, FIND(" ", D159)+1, FIND(",", D159)-FIND(" ", D159)-1) &amp; "-" &amp; LEFT(D159, FIND(" ", D159)-1) &amp; "-" &amp; RIGHT(D159, 4)), "YYYYMMDD"))</f>
        <v/>
      </c>
      <c r="I159" s="4" t="inlineStr">
        <is>
          <t>A</t>
        </is>
      </c>
    </row>
    <row r="160">
      <c r="A160" t="inlineStr">
        <is>
          <t>Empirical Methods in Natural Language Processing (EMNLP 2025)</t>
        </is>
      </c>
      <c r="B160" t="inlineStr">
        <is>
          <t>https://2025.emnlp.org/</t>
        </is>
      </c>
      <c r="C160" t="inlineStr">
        <is>
          <t>Suzhou, China</t>
        </is>
      </c>
      <c r="D160" s="6" t="n">
        <v>45749</v>
      </c>
      <c r="E160" s="6" t="n">
        <v>45756</v>
      </c>
      <c r="F160" s="7" t="n">
        <v>45966</v>
      </c>
      <c r="G160" t="inlineStr">
        <is>
          <t>Natural Language Processing</t>
        </is>
      </c>
      <c r="H160" s="3">
        <f>IF(ISERROR(DATEVALUE(MID(D160, FIND(" ", D160)+1, FIND(",", D160)-FIND(" ", D160)-1) &amp; "-" &amp; LEFT(D160, FIND(" ", D160)-1) &amp; "-" &amp; RIGHT(D160, 4))), "20260101", TEXT(DATEVALUE(MID(D160, FIND(" ", D160)+1, FIND(",", D160)-FIND(" ", D160)-1) &amp; "-" &amp; LEFT(D160, FIND(" ", D160)-1) &amp; "-" &amp; RIGHT(D160, 4)), "YYYYMMDD"))</f>
        <v/>
      </c>
      <c r="I160" s="4" t="inlineStr">
        <is>
          <t>A</t>
        </is>
      </c>
    </row>
    <row r="161">
      <c r="A161" t="inlineStr">
        <is>
          <t>International Conference on Conceptual Modeling (ER 2025)</t>
        </is>
      </c>
      <c r="B161" t="inlineStr">
        <is>
          <t>https://er2025.org/</t>
        </is>
      </c>
      <c r="C161" t="inlineStr">
        <is>
          <t>Mexico City, Mexico</t>
        </is>
      </c>
      <c r="D161" s="6" t="n">
        <v>45730</v>
      </c>
      <c r="E161" s="6" t="n">
        <v>45737</v>
      </c>
      <c r="F161" s="7" t="n">
        <v>45943</v>
      </c>
      <c r="G161" t="inlineStr">
        <is>
          <t>Conceptual Modeling; Databases</t>
        </is>
      </c>
      <c r="H161" s="3">
        <f>IF(ISERROR(DATEVALUE(MID(D161, FIND(" ", D161)+1, FIND(",", D161)-FIND(" ", D161)-1) &amp; "-" &amp; LEFT(D161, FIND(" ", D161)-1) &amp; "-" &amp; RIGHT(D161, 4))), "20260101", TEXT(DATEVALUE(MID(D161, FIND(" ", D161)+1, FIND(",", D161)-FIND(" ", D161)-1) &amp; "-" &amp; LEFT(D161, FIND(" ", D161)-1) &amp; "-" &amp; RIGHT(D161, 4)), "YYYYMMDD"))</f>
        <v/>
      </c>
      <c r="I161" s="4" t="inlineStr">
        <is>
          <t>A</t>
        </is>
      </c>
    </row>
    <row r="162">
      <c r="A162" t="inlineStr">
        <is>
          <t>European Symposium on Algorithms (ESA 2025)</t>
        </is>
      </c>
      <c r="B162" t="inlineStr">
        <is>
          <t>https://algo2025.labri.fr/</t>
        </is>
      </c>
      <c r="C162" t="inlineStr">
        <is>
          <t>Bordeaux, France</t>
        </is>
      </c>
      <c r="D162" s="6" t="n">
        <v>45751</v>
      </c>
      <c r="E162" s="6" t="n">
        <v>45758</v>
      </c>
      <c r="F162" s="7" t="n">
        <v>45901</v>
      </c>
      <c r="G162" t="inlineStr">
        <is>
          <t>Algorithms; Theory</t>
        </is>
      </c>
      <c r="H162" s="3">
        <f>IF(ISERROR(DATEVALUE(MID(D162, FIND(" ", D162)+1, FIND(",", D162)-FIND(" ", D162)-1) &amp; "-" &amp; LEFT(D162, FIND(" ", D162)-1) &amp; "-" &amp; RIGHT(D162, 4))), "20260101", TEXT(DATEVALUE(MID(D162, FIND(" ", D162)+1, FIND(",", D162)-FIND(" ", D162)-1) &amp; "-" &amp; LEFT(D162, FIND(" ", D162)-1) &amp; "-" &amp; RIGHT(D162, 4)), "YYYYMMDD"))</f>
        <v/>
      </c>
      <c r="I162" s="4" t="inlineStr">
        <is>
          <t>A</t>
        </is>
      </c>
    </row>
    <row r="163">
      <c r="A163" t="inlineStr">
        <is>
          <t>Intl. Symp. on Empirical Software Engineering &amp; Measurement (ESEM 2025)</t>
        </is>
      </c>
      <c r="B163" t="inlineStr">
        <is>
          <t>https://conf.researchr.org/home/esem-2025</t>
        </is>
      </c>
      <c r="C163" t="inlineStr">
        <is>
          <t>Fukuoka, Japan</t>
        </is>
      </c>
      <c r="D163" s="6" t="n">
        <v>45719</v>
      </c>
      <c r="E163" s="6" t="n">
        <v>45719</v>
      </c>
      <c r="F163" s="7" t="n">
        <v>45925</v>
      </c>
      <c r="G163" t="inlineStr">
        <is>
          <t>Software Engineering; Empirical Studies</t>
        </is>
      </c>
      <c r="H163" s="3">
        <f>IF(ISERROR(DATEVALUE(MID(D163, FIND(" ", D163)+1, FIND(",", D163)-FIND(" ", D163)-1) &amp; "-" &amp; LEFT(D163, FIND(" ", D163)-1) &amp; "-" &amp; RIGHT(D163, 4))), "20260101", TEXT(DATEVALUE(MID(D163, FIND(" ", D163)+1, FIND(",", D163)-FIND(" ", D163)-1) &amp; "-" &amp; LEFT(D163, FIND(" ", D163)-1) &amp; "-" &amp; RIGHT(D163, 4)), "YYYYMMDD"))</f>
        <v/>
      </c>
      <c r="I163" s="4" t="inlineStr">
        <is>
          <t>A</t>
        </is>
      </c>
    </row>
    <row r="164">
      <c r="A164" t="inlineStr">
        <is>
          <t>European Symposium on Programming (ESOP 2025)</t>
        </is>
      </c>
      <c r="B164" t="inlineStr">
        <is>
          <t>https://etaps.org/2025/esop/</t>
        </is>
      </c>
      <c r="C164" t="inlineStr">
        <is>
          <t>Munich, Germany</t>
        </is>
      </c>
      <c r="D164" s="6" t="n">
        <v>45575</v>
      </c>
      <c r="E164" s="6" t="n">
        <v>45582</v>
      </c>
      <c r="F164" s="7" t="n">
        <v>45740</v>
      </c>
      <c r="G164" t="inlineStr">
        <is>
          <t>Programming Languages; Theory</t>
        </is>
      </c>
      <c r="H164" s="3">
        <f>IF(ISERROR(DATEVALUE(MID(D164, FIND(" ", D164)+1, FIND(",", D164)-FIND(" ", D164)-1) &amp; "-" &amp; LEFT(D164, FIND(" ", D164)-1) &amp; "-" &amp; RIGHT(D164, 4))), "20260101", TEXT(DATEVALUE(MID(D164, FIND(" ", D164)+1, FIND(",", D164)-FIND(" ", D164)-1) &amp; "-" &amp; LEFT(D164, FIND(" ", D164)-1) &amp; "-" &amp; RIGHT(D164, 4)), "YYYYMMDD"))</f>
        <v/>
      </c>
      <c r="I164" s="4" t="inlineStr">
        <is>
          <t>A</t>
        </is>
      </c>
    </row>
    <row r="165">
      <c r="A165" t="inlineStr">
        <is>
          <t>European Symp. on Research in Computer Security (ESORICS 2025)</t>
        </is>
      </c>
      <c r="B165" t="inlineStr">
        <is>
          <t>https://esorics2025.org/</t>
        </is>
      </c>
      <c r="C165" t="inlineStr">
        <is>
          <t>Valencia, Spain</t>
        </is>
      </c>
      <c r="D165" s="6" t="n">
        <v>45717</v>
      </c>
      <c r="E165" s="6" t="n">
        <v>45724</v>
      </c>
      <c r="F165" s="7" t="n">
        <v>45915</v>
      </c>
      <c r="G165" t="inlineStr">
        <is>
          <t>Computer Security; Privacy</t>
        </is>
      </c>
      <c r="H165" s="3">
        <f>IF(ISERROR(DATEVALUE(MID(D165, FIND(" ", D165)+1, FIND(",", D165)-FIND(" ", D165)-1) &amp; "-" &amp; LEFT(D165, FIND(" ", D165)-1) &amp; "-" &amp; RIGHT(D165, 4))), "20260101", TEXT(DATEVALUE(MID(D165, FIND(" ", D165)+1, FIND(",", D165)-FIND(" ", D165)-1) &amp; "-" &amp; LEFT(D165, FIND(" ", D165)-1) &amp; "-" &amp; RIGHT(D165, 4)), "YYYYMMDD"))</f>
        <v/>
      </c>
      <c r="I165" s="4" t="inlineStr">
        <is>
          <t>A</t>
        </is>
      </c>
    </row>
    <row r="166">
      <c r="A166" t="inlineStr">
        <is>
          <t>Intl. Joint Conf. on Qualitative &amp; Quantitative Practical Reasoning (ESQARU 2025)</t>
        </is>
      </c>
      <c r="B166" t="inlineStr">
        <is>
          <t>https://esqaru2025.org/</t>
        </is>
      </c>
      <c r="C166" t="inlineStr">
        <is>
          <t>Leuven, Belgium</t>
        </is>
      </c>
      <c r="D166" s="6" t="n">
        <v>45786</v>
      </c>
      <c r="E166" s="6" t="n">
        <v>45793</v>
      </c>
      <c r="F166" s="7" t="n">
        <v>45909</v>
      </c>
      <c r="G166" t="inlineStr">
        <is>
          <t>Reasoning; Knowledge Representation</t>
        </is>
      </c>
      <c r="H166" s="3">
        <f>IF(ISERROR(DATEVALUE(MID(D166, FIND(" ", D166)+1, FIND(",", D166)-FIND(" ", D166)-1) &amp; "-" &amp; LEFT(D166, FIND(" ", D166)-1) &amp; "-" &amp; RIGHT(D166, 4))), "20260101", TEXT(DATEVALUE(MID(D166, FIND(" ", D166)+1, FIND(",", D166)-FIND(" ", D166)-1) &amp; "-" &amp; LEFT(D166, FIND(" ", D166)-1) &amp; "-" &amp; RIGHT(D166, 4)), "YYYYMMDD"))</f>
        <v/>
      </c>
      <c r="I166" s="4" t="inlineStr">
        <is>
          <t>A</t>
        </is>
      </c>
    </row>
    <row r="167">
      <c r="A167" t="inlineStr">
        <is>
          <t>Euro-Par 2025</t>
        </is>
      </c>
      <c r="B167" t="inlineStr">
        <is>
          <t>https://europar2025.org/</t>
        </is>
      </c>
      <c r="C167" t="inlineStr">
        <is>
          <t>Madeira, Portugal</t>
        </is>
      </c>
      <c r="D167" s="6" t="n">
        <v>45744</v>
      </c>
      <c r="E167" s="6" t="n">
        <v>45744</v>
      </c>
      <c r="F167" s="7" t="n">
        <v>45894</v>
      </c>
      <c r="G167" t="inlineStr">
        <is>
          <t>Parallel &amp; Distributed Computing</t>
        </is>
      </c>
      <c r="H167" s="3">
        <f>IF(ISERROR(DATEVALUE(MID(D167, FIND(" ", D167)+1, FIND(",", D167)-FIND(" ", D167)-1) &amp; "-" &amp; LEFT(D167, FIND(" ", D167)-1) &amp; "-" &amp; RIGHT(D167, 4))), "20260101", TEXT(DATEVALUE(MID(D167, FIND(" ", D167)+1, FIND(",", D167)-FIND(" ", D167)-1) &amp; "-" &amp; LEFT(D167, FIND(" ", D167)-1) &amp; "-" &amp; RIGHT(D167, 4)), "YYYYMMDD"))</f>
        <v/>
      </c>
      <c r="I167" s="4" t="inlineStr">
        <is>
          <t>A</t>
        </is>
      </c>
    </row>
    <row r="168">
      <c r="A168" t="inlineStr">
        <is>
          <t>Eurographics 2025 (EG 2025)</t>
        </is>
      </c>
      <c r="B168" t="inlineStr">
        <is>
          <t>https://www.eg2025.org/</t>
        </is>
      </c>
      <c r="C168" t="inlineStr">
        <is>
          <t>Hamburg, Germany</t>
        </is>
      </c>
      <c r="D168" s="6" t="n">
        <v>45627</v>
      </c>
      <c r="E168" s="6" t="n">
        <v>45628</v>
      </c>
      <c r="F168" s="7" t="n">
        <v>45774</v>
      </c>
      <c r="G168" t="inlineStr">
        <is>
          <t>Computer Graphics; Visualization</t>
        </is>
      </c>
      <c r="H168" s="3">
        <f>IF(ISERROR(DATEVALUE(MID(D168, FIND(" ", D168)+1, FIND(",", D168)-FIND(" ", D168)-1) &amp; "-" &amp; LEFT(D168, FIND(" ", D168)-1) &amp; "-" &amp; RIGHT(D168, 4))), "20260101", TEXT(DATEVALUE(MID(D168, FIND(" ", D168)+1, FIND(",", D168)-FIND(" ", D168)-1) &amp; "-" &amp; LEFT(D168, FIND(" ", D168)-1) &amp; "-" &amp; RIGHT(D168, 4)), "YYYYMMDD"))</f>
        <v/>
      </c>
      <c r="I168" s="4" t="inlineStr">
        <is>
          <t>A</t>
        </is>
      </c>
    </row>
    <row r="169">
      <c r="A169" t="inlineStr">
        <is>
          <t>European Conference on Speech Communication and Technology (INTERSPEECH 2025)</t>
        </is>
      </c>
      <c r="B169" t="inlineStr">
        <is>
          <t>https://www.interspeech2025.org/</t>
        </is>
      </c>
      <c r="C169" t="inlineStr">
        <is>
          <t>Rotterdam, Netherlands</t>
        </is>
      </c>
      <c r="D169" s="6" t="n">
        <v>45700</v>
      </c>
      <c r="E169" s="6" t="n">
        <v>45700</v>
      </c>
      <c r="F169" s="7" t="n">
        <v>45886</v>
      </c>
      <c r="G169" t="inlineStr">
        <is>
          <t>Speech Processing &amp; Technology</t>
        </is>
      </c>
      <c r="H169" s="3">
        <f>IF(ISERROR(DATEVALUE(MID(D169, FIND(" ", D169)+1, FIND(",", D169)-FIND(" ", D169)-1) &amp; "-" &amp; LEFT(D169, FIND(" ", D169)-1) &amp; "-" &amp; RIGHT(D169, 4))), "20260101", TEXT(DATEVALUE(MID(D169, FIND(" ", D169)+1, FIND(",", D169)-FIND(" ", D169)-1) &amp; "-" &amp; LEFT(D169, FIND(" ", D169)-1) &amp; "-" &amp; RIGHT(D169, 4)), "YYYYMMDD"))</f>
        <v/>
      </c>
      <c r="I169" s="4" t="inlineStr">
        <is>
          <t>A</t>
        </is>
      </c>
    </row>
    <row r="170">
      <c r="A170" t="inlineStr">
        <is>
          <t>EuroSys 2025</t>
        </is>
      </c>
      <c r="B170" t="inlineStr">
        <is>
          <t>https://2025.eurosys.org/</t>
        </is>
      </c>
      <c r="C170" t="inlineStr">
        <is>
          <t>Rotterdam, Netherlands</t>
        </is>
      </c>
      <c r="D170" s="6" t="n">
        <v>45580</v>
      </c>
      <c r="E170" s="6" t="n">
        <v>45587</v>
      </c>
      <c r="F170" s="7" t="n">
        <v>45746</v>
      </c>
      <c r="G170" t="inlineStr">
        <is>
          <t>Computer Systems (OS, Distributed, Storage)</t>
        </is>
      </c>
      <c r="H170" s="3">
        <f>IF(ISERROR(DATEVALUE(MID(D170, FIND(" ", D170)+1, FIND(",", D170)-FIND(" ", D170)-1) &amp; "-" &amp; LEFT(D170, FIND(" ", D170)-1) &amp; "-" &amp; RIGHT(D170, 4))), "20260101", TEXT(DATEVALUE(MID(D170, FIND(" ", D170)+1, FIND(",", D170)-FIND(" ", D170)-1) &amp; "-" &amp; LEFT(D170, FIND(" ", D170)-1) &amp; "-" &amp; RIGHT(D170, 4)), "YYYYMMDD"))</f>
        <v/>
      </c>
      <c r="I170" s="4" t="inlineStr">
        <is>
          <t>A</t>
        </is>
      </c>
    </row>
    <row r="171">
      <c r="A171" t="inlineStr">
        <is>
          <t>USENIX Conference on File and Storage Technologies (FAST 2025)</t>
        </is>
      </c>
      <c r="B171" t="inlineStr">
        <is>
          <t>https://www.usenix.org/conference/fast25</t>
        </is>
      </c>
      <c r="C171" t="inlineStr">
        <is>
          <t>Santa Clara, CA, USA</t>
        </is>
      </c>
      <c r="D171" s="6" t="n">
        <v>45552</v>
      </c>
      <c r="E171" s="6" t="n">
        <v>45552</v>
      </c>
      <c r="F171" s="7" t="n">
        <v>45712</v>
      </c>
      <c r="G171" t="inlineStr">
        <is>
          <t>File &amp; Storage Systems</t>
        </is>
      </c>
      <c r="H171" s="3">
        <f>IF(ISERROR(DATEVALUE(MID(D171, FIND(" ", D171)+1, FIND(",", D171)-FIND(" ", D171)-1) &amp; "-" &amp; LEFT(D171, FIND(" ", D171)-1) &amp; "-" &amp; RIGHT(D171, 4))), "20260101", TEXT(DATEVALUE(MID(D171, FIND(" ", D171)+1, FIND(",", D171)-FIND(" ", D171)-1) &amp; "-" &amp; LEFT(D171, FIND(" ", D171)-1) &amp; "-" &amp; RIGHT(D171, 4)), "YYYYMMDD"))</f>
        <v/>
      </c>
      <c r="I171" s="4" t="inlineStr">
        <is>
          <t>A</t>
        </is>
      </c>
    </row>
    <row r="172">
      <c r="A172" t="inlineStr">
        <is>
          <t>Financial Cryptography &amp; Data Security (FC 2025)</t>
        </is>
      </c>
      <c r="B172" t="inlineStr">
        <is>
          <t>https://fc25.ifca.ai/</t>
        </is>
      </c>
      <c r="C172" t="inlineStr">
        <is>
          <t>Miyakojima, Japan</t>
        </is>
      </c>
      <c r="D172" s="6" t="n">
        <v>45572</v>
      </c>
      <c r="E172" s="6" t="n">
        <v>45572</v>
      </c>
      <c r="F172" s="7" t="n">
        <v>45761</v>
      </c>
      <c r="G172" t="inlineStr">
        <is>
          <t>Cryptography &amp; Security in Finance</t>
        </is>
      </c>
      <c r="H172" s="3">
        <f>IF(ISERROR(DATEVALUE(MID(D172, FIND(" ", D172)+1, FIND(",", D172)-FIND(" ", D172)-1) &amp; "-" &amp; LEFT(D172, FIND(" ", D172)-1) &amp; "-" &amp; RIGHT(D172, 4))), "20260101", TEXT(DATEVALUE(MID(D172, FIND(" ", D172)+1, FIND(",", D172)-FIND(" ", D172)-1) &amp; "-" &amp; LEFT(D172, FIND(" ", D172)-1) &amp; "-" &amp; RIGHT(D172, 4)), "YYYYMMDD"))</f>
        <v/>
      </c>
      <c r="I172" s="4" t="inlineStr">
        <is>
          <t>A</t>
        </is>
      </c>
    </row>
    <row r="173">
      <c r="A173" t="inlineStr">
        <is>
          <t>International Symposium on Fundamentals of Computation Theory (FCT 2025)</t>
        </is>
      </c>
      <c r="B173" t="inlineStr">
        <is>
          <t>https://fct2025.cs.uni.wroc.pl/</t>
        </is>
      </c>
      <c r="C173" t="inlineStr">
        <is>
          <t>Wrocław, Poland</t>
        </is>
      </c>
      <c r="D173" s="6" t="n">
        <v>45747</v>
      </c>
      <c r="E173" s="6" t="n">
        <v>45754</v>
      </c>
      <c r="F173" s="7" t="n">
        <v>45915</v>
      </c>
      <c r="G173" t="inlineStr">
        <is>
          <t>Theoretical Computer Science</t>
        </is>
      </c>
      <c r="H173" s="3">
        <f>IF(ISERROR(DATEVALUE(MID(D173, FIND(" ", D173)+1, FIND(",", D173)-FIND(" ", D173)-1) &amp; "-" &amp; LEFT(D173, FIND(" ", D173)-1) &amp; "-" &amp; RIGHT(D173, 4))), "20260101", TEXT(DATEVALUE(MID(D173, FIND(" ", D173)+1, FIND(",", D173)-FIND(" ", D173)-1) &amp; "-" &amp; LEFT(D173, FIND(" ", D173)-1) &amp; "-" &amp; RIGHT(D173, 4)), "YYYYMMDD"))</f>
        <v/>
      </c>
      <c r="I173" s="4" t="inlineStr">
        <is>
          <t>A</t>
        </is>
      </c>
    </row>
    <row r="174">
      <c r="A174" t="inlineStr">
        <is>
          <t>International Symposium on Functional and Logic Programming (FLOPS 2024)</t>
        </is>
      </c>
      <c r="B174" t="inlineStr">
        <is>
          <t>https://conf.researchr.org/home/flops-2024</t>
        </is>
      </c>
      <c r="C174" t="inlineStr">
        <is>
          <t>Cairo, Egypt</t>
        </is>
      </c>
      <c r="D174" s="6" t="n">
        <v>45266</v>
      </c>
      <c r="E174" s="6" t="n">
        <v>45273</v>
      </c>
      <c r="F174" s="7" t="n">
        <v>45432</v>
      </c>
      <c r="G174" t="inlineStr">
        <is>
          <t>Functional &amp; Logic Programming</t>
        </is>
      </c>
      <c r="H174" s="3">
        <f>IF(ISERROR(DATEVALUE(MID(D174, FIND(" ", D174)+1, FIND(",", D174)-FIND(" ", D174)-1) &amp; "-" &amp; LEFT(D174, FIND(" ", D174)-1) &amp; "-" &amp; RIGHT(D174, 4))), "20260101", TEXT(DATEVALUE(MID(D174, FIND(" ", D174)+1, FIND(",", D174)-FIND(" ", D174)-1) &amp; "-" &amp; LEFT(D174, FIND(" ", D174)-1) &amp; "-" &amp; RIGHT(D174, 4)), "YYYYMMDD"))</f>
        <v/>
      </c>
      <c r="I174" s="4" t="inlineStr">
        <is>
          <t>A</t>
        </is>
      </c>
    </row>
    <row r="175">
      <c r="A175" t="inlineStr">
        <is>
          <t>Formal Methods Europe (FM / FME 2026 call)</t>
        </is>
      </c>
      <c r="B175" t="inlineStr">
        <is>
          <t>https://www.fmeurope.org/</t>
        </is>
      </c>
      <c r="C175" t="inlineStr">
        <is>
          <t>Tokyo, Japan</t>
        </is>
      </c>
      <c r="D175" s="6" t="n">
        <v>45986</v>
      </c>
      <c r="E175" s="6" t="n">
        <v>45993</v>
      </c>
      <c r="F175" s="7" t="n">
        <v>46162</v>
      </c>
      <c r="G175" t="inlineStr">
        <is>
          <t>Formal Methods</t>
        </is>
      </c>
      <c r="H175" s="3">
        <f>IF(ISERROR(DATEVALUE(MID(D175, FIND(" ", D175)+1, FIND(",", D175)-FIND(" ", D175)-1) &amp; "-" &amp; LEFT(D175, FIND(" ", D175)-1) &amp; "-" &amp; RIGHT(D175, 4))), "20260101", TEXT(DATEVALUE(MID(D175, FIND(" ", D175)+1, FIND(",", D175)-FIND(" ", D175)-1) &amp; "-" &amp; LEFT(D175, FIND(" ", D175)-1) &amp; "-" &amp; RIGHT(D175, 4)), "YYYYMMDD"))</f>
        <v/>
      </c>
      <c r="I175" s="4" t="inlineStr">
        <is>
          <t>A</t>
        </is>
      </c>
    </row>
    <row r="176">
      <c r="A176" t="inlineStr">
        <is>
          <t>International Conf. on Formal Ontology in Information Systems (FOIS 2024)</t>
        </is>
      </c>
      <c r="B176" t="inlineStr">
        <is>
          <t>https://fois2024.inf.unibz.it/</t>
        </is>
      </c>
      <c r="C176" t="inlineStr">
        <is>
          <t>Enschede, Netherlands</t>
        </is>
      </c>
      <c r="D176" s="6" t="n">
        <v>45366</v>
      </c>
      <c r="E176" s="6" t="n">
        <v>45373</v>
      </c>
      <c r="F176" s="7" t="n">
        <v>45488</v>
      </c>
      <c r="G176" t="inlineStr">
        <is>
          <t>Formal Ontology; Knowledge Representation</t>
        </is>
      </c>
      <c r="H176" s="3">
        <f>IF(ISERROR(DATEVALUE(MID(D176, FIND(" ", D176)+1, FIND(",", D176)-FIND(" ", D176)-1) &amp; "-" &amp; LEFT(D176, FIND(" ", D176)-1) &amp; "-" &amp; RIGHT(D176, 4))), "20260101", TEXT(DATEVALUE(MID(D176, FIND(" ", D176)+1, FIND(",", D176)-FIND(" ", D176)-1) &amp; "-" &amp; LEFT(D176, FIND(" ", D176)-1) &amp; "-" &amp; RIGHT(D176, 4)), "YYYYMMDD"))</f>
        <v/>
      </c>
      <c r="I176" s="4" t="inlineStr">
        <is>
          <t>A</t>
        </is>
      </c>
    </row>
    <row r="177">
      <c r="A177" t="inlineStr">
        <is>
          <t>IFIP FORTE 2025 (Formal Description, Testing &amp; Verification)</t>
        </is>
      </c>
      <c r="B177" t="inlineStr">
        <is>
          <t>https://conf.researchr.org/series/FORTE</t>
        </is>
      </c>
      <c r="C177" t="inlineStr">
        <is>
          <t>Munich, Germany</t>
        </is>
      </c>
      <c r="D177" s="6" t="n">
        <v>45575</v>
      </c>
      <c r="E177" s="6" t="n">
        <v>45582</v>
      </c>
      <c r="F177" s="7" t="n">
        <v>45740</v>
      </c>
      <c r="G177" t="inlineStr">
        <is>
          <t>Formal Verification; Protocols</t>
        </is>
      </c>
      <c r="H177" s="3">
        <f>IF(ISERROR(DATEVALUE(MID(D177, FIND(" ", D177)+1, FIND(",", D177)-FIND(" ", D177)-1) &amp; "-" &amp; LEFT(D177, FIND(" ", D177)-1) &amp; "-" &amp; RIGHT(D177, 4))), "20260101", TEXT(DATEVALUE(MID(D177, FIND(" ", D177)+1, FIND(",", D177)-FIND(" ", D177)-1) &amp; "-" &amp; LEFT(D177, FIND(" ", D177)-1) &amp; "-" &amp; RIGHT(D177, 4)), "YYYYMMDD"))</f>
        <v/>
      </c>
      <c r="I177" s="4" t="inlineStr">
        <is>
          <t>A</t>
        </is>
      </c>
    </row>
    <row r="178">
      <c r="A178" t="inlineStr">
        <is>
          <t>ACM SIGSOFT Foundations of Software Engineering (FSE 2025)</t>
        </is>
      </c>
      <c r="B178" t="inlineStr">
        <is>
          <t>https://conf.researchr.org/home/fse-2025</t>
        </is>
      </c>
      <c r="C178" t="inlineStr">
        <is>
          <t>Trondheim, Norway</t>
        </is>
      </c>
      <c r="D178" s="6" t="n">
        <v>45720</v>
      </c>
      <c r="E178" s="6" t="n">
        <v>45720</v>
      </c>
      <c r="F178" s="7" t="n">
        <v>45831</v>
      </c>
      <c r="G178" t="inlineStr">
        <is>
          <t>Software Engineering (Foundations)</t>
        </is>
      </c>
      <c r="H178" s="3">
        <f>IF(ISERROR(DATEVALUE(MID(D178, FIND(" ", D178)+1, FIND(",", D178)-FIND(" ", D178)-1) &amp; "-" &amp; LEFT(D178, FIND(" ", D178)-1) &amp; "-" &amp; RIGHT(D178, 4))), "20260101", TEXT(DATEVALUE(MID(D178, FIND(" ", D178)+1, FIND(",", D178)-FIND(" ", D178)-1) &amp; "-" &amp; LEFT(D178, FIND(" ", D178)-1) &amp; "-" &amp; RIGHT(D178, 4)), "YYYYMMDD"))</f>
        <v/>
      </c>
      <c r="I178" s="4" t="inlineStr">
        <is>
          <t>A</t>
        </is>
      </c>
    </row>
    <row r="179">
      <c r="A179" t="inlineStr">
        <is>
          <t>IEEE International Conference on Fuzzy Systems (FUZZ-IEEE 2025)</t>
        </is>
      </c>
      <c r="B179" t="inlineStr">
        <is>
          <t>https://2025.ieee-fuzzie.org/</t>
        </is>
      </c>
      <c r="C179" t="inlineStr">
        <is>
          <t>Yokohama, Japan</t>
        </is>
      </c>
      <c r="D179" s="6" t="n">
        <v>45683</v>
      </c>
      <c r="E179" s="6" t="n">
        <v>45683</v>
      </c>
      <c r="F179" s="7" t="n">
        <v>45848</v>
      </c>
      <c r="G179" t="inlineStr">
        <is>
          <t>Fuzzy Systems; Soft Computing</t>
        </is>
      </c>
      <c r="H179" s="3">
        <f>IF(ISERROR(DATEVALUE(MID(D179, FIND(" ", D179)+1, FIND(",", D179)-FIND(" ", D179)-1) &amp; "-" &amp; LEFT(D179, FIND(" ", D179)-1) &amp; "-" &amp; RIGHT(D179, 4))), "20260101", TEXT(DATEVALUE(MID(D179, FIND(" ", D179)+1, FIND(",", D179)-FIND(" ", D179)-1) &amp; "-" &amp; LEFT(D179, FIND(" ", D179)-1) &amp; "-" &amp; RIGHT(D179, 4)), "YYYYMMDD"))</f>
        <v/>
      </c>
      <c r="I179" s="4" t="inlineStr">
        <is>
          <t>A</t>
        </is>
      </c>
    </row>
    <row r="180">
      <c r="A180" t="inlineStr">
        <is>
          <t>International Symposium on Graph Drawing (GD 2025)</t>
        </is>
      </c>
      <c r="B180" t="inlineStr">
        <is>
          <t>https://gd2025.org/</t>
        </is>
      </c>
      <c r="C180" t="inlineStr">
        <is>
          <t>Perugia, Italy</t>
        </is>
      </c>
      <c r="D180" s="6" t="n">
        <v>45779</v>
      </c>
      <c r="E180" s="6" t="n">
        <v>45786</v>
      </c>
      <c r="F180" s="7" t="n">
        <v>45917</v>
      </c>
      <c r="G180" t="inlineStr">
        <is>
          <t>Graph Drawing &amp; Network Visualization</t>
        </is>
      </c>
      <c r="H180" s="3">
        <f>IF(ISERROR(DATEVALUE(MID(D180, FIND(" ", D180)+1, FIND(",", D180)-FIND(" ", D180)-1) &amp; "-" &amp; LEFT(D180, FIND(" ", D180)-1) &amp; "-" &amp; RIGHT(D180, 4))), "20260101", TEXT(DATEVALUE(MID(D180, FIND(" ", D180)+1, FIND(",", D180)-FIND(" ", D180)-1) &amp; "-" &amp; LEFT(D180, FIND(" ", D180)-1) &amp; "-" &amp; RIGHT(D180, 4)), "YYYYMMDD"))</f>
        <v/>
      </c>
      <c r="I180" s="4" t="inlineStr">
        <is>
          <t>A</t>
        </is>
      </c>
    </row>
    <row r="181">
      <c r="A181" t="inlineStr">
        <is>
          <t>Genetic and Evolutionary Computation Conference (GECCO 2025)</t>
        </is>
      </c>
      <c r="B181" t="inlineStr">
        <is>
          <t>https://gecco-2025.sigevo.org/</t>
        </is>
      </c>
      <c r="C181" t="inlineStr">
        <is>
          <t>Buenos Aires, Argentina</t>
        </is>
      </c>
      <c r="D181" s="6" t="n">
        <v>45688</v>
      </c>
      <c r="E181" s="6" t="n">
        <v>45695</v>
      </c>
      <c r="F181" s="7" t="n">
        <v>45850</v>
      </c>
      <c r="G181" t="inlineStr">
        <is>
          <t>Evolutionary Computation; AI</t>
        </is>
      </c>
      <c r="H181" s="3">
        <f>IF(ISERROR(DATEVALUE(MID(D181, FIND(" ", D181)+1, FIND(",", D181)-FIND(" ", D181)-1) &amp; "-" &amp; LEFT(D181, FIND(" ", D181)-1) &amp; "-" &amp; RIGHT(D181, 4))), "20260101", TEXT(DATEVALUE(MID(D181, FIND(" ", D181)+1, FIND(",", D181)-FIND(" ", D181)-1) &amp; "-" &amp; LEFT(D181, FIND(" ", D181)-1) &amp; "-" &amp; RIGHT(D181, 4)), "YYYYMMDD"))</f>
        <v/>
      </c>
      <c r="I181" s="4" t="inlineStr">
        <is>
          <t>A</t>
        </is>
      </c>
    </row>
    <row r="182">
      <c r="A182" t="inlineStr">
        <is>
          <t>International Conf. on Computer Graphics Theory &amp; Applications (GRAPP 2025)</t>
        </is>
      </c>
      <c r="B182" t="inlineStr">
        <is>
          <t>https://grapp.scitevents.org/?y=2025</t>
        </is>
      </c>
      <c r="C182" t="inlineStr">
        <is>
          <t>Rome, Italy</t>
        </is>
      </c>
      <c r="D182" s="6" t="n">
        <v>45572</v>
      </c>
      <c r="E182" s="6" t="n">
        <v>45590</v>
      </c>
      <c r="F182" s="7" t="n">
        <v>45718</v>
      </c>
      <c r="G182" t="inlineStr">
        <is>
          <t>Computer Graphics; Imaging</t>
        </is>
      </c>
      <c r="H182" s="3">
        <f>IF(ISERROR(DATEVALUE(MID(D182, FIND(" ", D182)+1, FIND(",", D182)-FIND(" ", D182)-1) &amp; "-" &amp; LEFT(D182, FIND(" ", D182)-1) &amp; "-" &amp; RIGHT(D182, 4))), "20260101", TEXT(DATEVALUE(MID(D182, FIND(" ", D182)+1, FIND(",", D182)-FIND(" ", D182)-1) &amp; "-" &amp; LEFT(D182, FIND(" ", D182)-1) &amp; "-" &amp; RIGHT(D182, 4)), "YYYYMMDD"))</f>
        <v/>
      </c>
      <c r="I182" s="4" t="inlineStr">
        <is>
          <t>A</t>
        </is>
      </c>
    </row>
    <row r="183">
      <c r="A183" t="inlineStr">
        <is>
          <t>IEEE/ACM International Conference on Grid Computing (GRID 2025)</t>
        </is>
      </c>
      <c r="B183" t="inlineStr">
        <is>
          <t>https://grid2025.org/</t>
        </is>
      </c>
      <c r="C183" t="inlineStr">
        <is>
          <t>Thessaloniki, Greece</t>
        </is>
      </c>
      <c r="D183" s="6" t="n">
        <v>45798</v>
      </c>
      <c r="E183" s="6" t="n">
        <v>45805</v>
      </c>
      <c r="F183" s="7" t="n">
        <v>45922</v>
      </c>
      <c r="G183" t="inlineStr">
        <is>
          <t>Grid &amp; Cloud Computing</t>
        </is>
      </c>
      <c r="H183" s="3">
        <f>IF(ISERROR(DATEVALUE(MID(D183, FIND(" ", D183)+1, FIND(",", D183)-FIND(" ", D183)-1) &amp; "-" &amp; LEFT(D183, FIND(" ", D183)-1) &amp; "-" &amp; RIGHT(D183, 4))), "20260101", TEXT(DATEVALUE(MID(D183, FIND(" ", D183)+1, FIND(",", D183)-FIND(" ", D183)-1) &amp; "-" &amp; LEFT(D183, FIND(" ", D183)-1) &amp; "-" &amp; RIGHT(D183, 4)), "YYYYMMDD"))</f>
        <v/>
      </c>
      <c r="I183" s="4" t="inlineStr">
        <is>
          <t>A</t>
        </is>
      </c>
    </row>
    <row r="184">
      <c r="A184" t="inlineStr">
        <is>
          <t>BCS Conference on Human–Computer Interaction (HCI 2025)</t>
        </is>
      </c>
      <c r="B184" t="inlineStr">
        <is>
          <t>https://hci2025.bcs.org/</t>
        </is>
      </c>
      <c r="C184" t="inlineStr">
        <is>
          <t>Exeter, UK</t>
        </is>
      </c>
      <c r="D184" s="6" t="n">
        <v>45702</v>
      </c>
      <c r="E184" s="6" t="n">
        <v>45702</v>
      </c>
      <c r="F184" s="7" t="n">
        <v>45852</v>
      </c>
      <c r="G184" t="inlineStr">
        <is>
          <t>Human–Computer Interaction</t>
        </is>
      </c>
      <c r="H184" s="3">
        <f>IF(ISERROR(DATEVALUE(MID(D184, FIND(" ", D184)+1, FIND(",", D184)-FIND(" ", D184)-1) &amp; "-" &amp; LEFT(D184, FIND(" ", D184)-1) &amp; "-" &amp; RIGHT(D184, 4))), "20260101", TEXT(DATEVALUE(MID(D184, FIND(" ", D184)+1, FIND(",", D184)-FIND(" ", D184)-1) &amp; "-" &amp; LEFT(D184, FIND(" ", D184)-1) &amp; "-" &amp; RIGHT(D184, 4)), "YYYYMMDD"))</f>
        <v/>
      </c>
      <c r="I184" s="4" t="inlineStr">
        <is>
          <t>A</t>
        </is>
      </c>
    </row>
    <row r="185">
      <c r="A185" t="inlineStr">
        <is>
          <t>Hawaii International Conference on System Sciences (HICSS 2025)</t>
        </is>
      </c>
      <c r="B185" t="inlineStr">
        <is>
          <t>https://hicss.hawaii.edu/</t>
        </is>
      </c>
      <c r="C185" t="inlineStr">
        <is>
          <t>Hyatt Regency Maui, USA</t>
        </is>
      </c>
      <c r="D185" s="6" t="n">
        <v>45397</v>
      </c>
      <c r="E185" s="6" t="n">
        <v>45458</v>
      </c>
      <c r="F185" s="7" t="n">
        <v>45664</v>
      </c>
      <c r="G185" t="inlineStr">
        <is>
          <t>Information Systems; CS</t>
        </is>
      </c>
      <c r="H185" s="3">
        <f>IF(ISERROR(DATEVALUE(MID(D185, FIND(" ", D185)+1, FIND(",", D185)-FIND(" ", D185)-1) &amp; "-" &amp; LEFT(D185, FIND(" ", D185)-1) &amp; "-" &amp; RIGHT(D185, 4))), "20260101", TEXT(DATEVALUE(MID(D185, FIND(" ", D185)+1, FIND(",", D185)-FIND(" ", D185)-1) &amp; "-" &amp; LEFT(D185, FIND(" ", D185)-1) &amp; "-" &amp; RIGHT(D185, 4)), "YYYYMMDD"))</f>
        <v/>
      </c>
      <c r="I185" s="4" t="inlineStr">
        <is>
          <t>A</t>
        </is>
      </c>
    </row>
    <row r="186">
      <c r="A186" t="inlineStr">
        <is>
          <t>International Conf. on High-Performance Computing (HiPC 2024)</t>
        </is>
      </c>
      <c r="B186" t="inlineStr">
        <is>
          <t>https://hipc.org/</t>
        </is>
      </c>
      <c r="C186" t="inlineStr">
        <is>
          <t>Cochin, India</t>
        </is>
      </c>
      <c r="D186" s="6" t="n">
        <v>45474</v>
      </c>
      <c r="E186" s="6" t="n">
        <v>45481</v>
      </c>
      <c r="F186" s="7" t="n">
        <v>45644</v>
      </c>
      <c r="G186" t="inlineStr">
        <is>
          <t>High-Performance Computing</t>
        </is>
      </c>
      <c r="H186" s="3">
        <f>IF(ISERROR(DATEVALUE(MID(D186, FIND(" ", D186)+1, FIND(",", D186)-FIND(" ", D186)-1) &amp; "-" &amp; LEFT(D186, FIND(" ", D186)-1) &amp; "-" &amp; RIGHT(D186, 4))), "20260101", TEXT(DATEVALUE(MID(D186, FIND(" ", D186)+1, FIND(",", D186)-FIND(" ", D186)-1) &amp; "-" &amp; LEFT(D186, FIND(" ", D186)-1) &amp; "-" &amp; RIGHT(D186, 4)), "YYYYMMDD"))</f>
        <v/>
      </c>
      <c r="I186" s="4" t="inlineStr">
        <is>
          <t>A</t>
        </is>
      </c>
    </row>
    <row r="187">
      <c r="A187" t="inlineStr">
        <is>
          <t>USENIX Hot Topics in Operating Systems (HotOS XIX – 2024)</t>
        </is>
      </c>
      <c r="B187" t="inlineStr">
        <is>
          <t>https://www.usenix.org/conference/hotos19</t>
        </is>
      </c>
      <c r="C187" t="inlineStr">
        <is>
          <t>Santa Cruz, CA, USA</t>
        </is>
      </c>
      <c r="D187" s="6" t="n">
        <v>45303</v>
      </c>
      <c r="E187" s="6" t="n">
        <v>45303</v>
      </c>
      <c r="F187" s="7" t="n">
        <v>45418</v>
      </c>
      <c r="G187" t="inlineStr">
        <is>
          <t>Operating Systems (Hot Topics)</t>
        </is>
      </c>
      <c r="H187" s="3">
        <f>IF(ISERROR(DATEVALUE(MID(D187, FIND(" ", D187)+1, FIND(",", D187)-FIND(" ", D187)-1) &amp; "-" &amp; LEFT(D187, FIND(" ", D187)-1) &amp; "-" &amp; RIGHT(D187, 4))), "20260101", TEXT(DATEVALUE(MID(D187, FIND(" ", D187)+1, FIND(",", D187)-FIND(" ", D187)-1) &amp; "-" &amp; LEFT(D187, FIND(" ", D187)-1) &amp; "-" &amp; RIGHT(D187, 4)), "YYYYMMDD"))</f>
        <v/>
      </c>
      <c r="I187" s="4" t="inlineStr">
        <is>
          <t>A</t>
        </is>
      </c>
    </row>
    <row r="188">
      <c r="A188" t="inlineStr">
        <is>
          <t>ACM Symposium on High-Performance Distributed Computing (HPDC 2025)</t>
        </is>
      </c>
      <c r="B188" t="inlineStr">
        <is>
          <t>https://hpdc2025.github.io/</t>
        </is>
      </c>
      <c r="C188" t="inlineStr">
        <is>
          <t>Kyoto, Japan</t>
        </is>
      </c>
      <c r="D188" s="6" t="n">
        <v>45628</v>
      </c>
      <c r="E188" s="6" t="n">
        <v>45635</v>
      </c>
      <c r="F188" s="7" t="n">
        <v>45824</v>
      </c>
      <c r="G188" t="inlineStr">
        <is>
          <t>Distributed &amp; High-Perf Computing</t>
        </is>
      </c>
      <c r="H188" s="3">
        <f>IF(ISERROR(DATEVALUE(MID(D188, FIND(" ", D188)+1, FIND(",", D188)-FIND(" ", D188)-1) &amp; "-" &amp; LEFT(D188, FIND(" ", D188)-1) &amp; "-" &amp; RIGHT(D188, 4))), "20260101", TEXT(DATEVALUE(MID(D188, FIND(" ", D188)+1, FIND(",", D188)-FIND(" ", D188)-1) &amp; "-" &amp; LEFT(D188, FIND(" ", D188)-1) &amp; "-" &amp; RIGHT(D188, 4)), "YYYYMMDD"))</f>
        <v/>
      </c>
      <c r="I188" s="4" t="inlineStr">
        <is>
          <t>A</t>
        </is>
      </c>
    </row>
    <row r="189">
      <c r="A189" t="inlineStr">
        <is>
          <t>ACM Conference on Hypertext &amp; Social Media (Hypertext 2025)</t>
        </is>
      </c>
      <c r="B189" t="inlineStr">
        <is>
          <t>https://ht.acm.org/ht2025/</t>
        </is>
      </c>
      <c r="C189" t="inlineStr">
        <is>
          <t>Vienna, Austria</t>
        </is>
      </c>
      <c r="D189" s="6" t="n">
        <v>45737</v>
      </c>
      <c r="E189" s="6" t="n">
        <v>45744</v>
      </c>
      <c r="F189" s="7" t="n">
        <v>45909</v>
      </c>
      <c r="G189" t="inlineStr">
        <is>
          <t>Hypertext; Web; Social Media</t>
        </is>
      </c>
      <c r="H189" s="3">
        <f>IF(ISERROR(DATEVALUE(MID(D189, FIND(" ", D189)+1, FIND(",", D189)-FIND(" ", D189)-1) &amp; "-" &amp; LEFT(D189, FIND(" ", D189)-1) &amp; "-" &amp; RIGHT(D189, 4))), "20260101", TEXT(DATEVALUE(MID(D189, FIND(" ", D189)+1, FIND(",", D189)-FIND(" ", D189)-1) &amp; "-" &amp; LEFT(D189, FIND(" ", D189)-1) &amp; "-" &amp; RIGHT(D189, 4)), "YYYYMMDD"))</f>
        <v/>
      </c>
      <c r="I189" s="4" t="inlineStr">
        <is>
          <t>A</t>
        </is>
      </c>
    </row>
    <row r="190">
      <c r="A190" t="inlineStr">
        <is>
          <t>International Colloquium on Automata, Languages and Programming (ICALP 2025)</t>
        </is>
      </c>
      <c r="B190" t="inlineStr">
        <is>
          <t>https://icalp2025.org/</t>
        </is>
      </c>
      <c r="C190" t="inlineStr">
        <is>
          <t>Madrid, Spain</t>
        </is>
      </c>
      <c r="D190" s="6" t="n">
        <v>45673</v>
      </c>
      <c r="E190" s="6" t="n">
        <v>45680</v>
      </c>
      <c r="F190" s="7" t="n">
        <v>45845</v>
      </c>
      <c r="G190" t="inlineStr">
        <is>
          <t>Theoretical CS; Algorithms</t>
        </is>
      </c>
      <c r="H190" s="3">
        <f>IF(ISERROR(DATEVALUE(MID(D190, FIND(" ", D190)+1, FIND(",", D190)-FIND(" ", D190)-1) &amp; "-" &amp; LEFT(D190, FIND(" ", D190)-1) &amp; "-" &amp; RIGHT(D190, 4))), "20260101", TEXT(DATEVALUE(MID(D190, FIND(" ", D190)+1, FIND(",", D190)-FIND(" ", D190)-1) &amp; "-" &amp; LEFT(D190, FIND(" ", D190)-1) &amp; "-" &amp; RIGHT(D190, 4)), "YYYYMMDD"))</f>
        <v/>
      </c>
      <c r="I190" s="4" t="inlineStr">
        <is>
          <t>A</t>
        </is>
      </c>
    </row>
    <row r="191">
      <c r="A191" t="inlineStr">
        <is>
          <t>IEEE/ACM International Conference on Computer-Aided Design (ICCAD 2024)</t>
        </is>
      </c>
      <c r="B191" t="inlineStr">
        <is>
          <t>https://www.iccad-conf.com/</t>
        </is>
      </c>
      <c r="C191" t="inlineStr">
        <is>
          <t>San Francisco, CA, USA</t>
        </is>
      </c>
      <c r="D191" s="6" t="n">
        <v>45394</v>
      </c>
      <c r="E191" s="6" t="n">
        <v>45401</v>
      </c>
      <c r="F191" s="7" t="n">
        <v>45594</v>
      </c>
      <c r="G191" t="inlineStr">
        <is>
          <t>Electronic Design Automation</t>
        </is>
      </c>
      <c r="H191" s="3">
        <f>IF(ISERROR(DATEVALUE(MID(D191, FIND(" ", D191)+1, FIND(",", D191)-FIND(" ", D191)-1) &amp; "-" &amp; LEFT(D191, FIND(" ", D191)-1) &amp; "-" &amp; RIGHT(D191, 4))), "20260101", TEXT(DATEVALUE(MID(D191, FIND(" ", D191)+1, FIND(",", D191)-FIND(" ", D191)-1) &amp; "-" &amp; LEFT(D191, FIND(" ", D191)-1) &amp; "-" &amp; RIGHT(D191, 4)), "YYYYMMDD"))</f>
        <v/>
      </c>
      <c r="I191" s="4" t="inlineStr">
        <is>
          <t>A</t>
        </is>
      </c>
    </row>
    <row r="192">
      <c r="A192" t="inlineStr">
        <is>
          <t>International Conference on Computational Science (ICCS 2025)</t>
        </is>
      </c>
      <c r="B192" t="inlineStr">
        <is>
          <t>https://iccs-meeting.org/iccs2025/</t>
        </is>
      </c>
      <c r="C192" t="inlineStr">
        <is>
          <t>Prague, Czech Republic</t>
        </is>
      </c>
      <c r="D192" s="6" t="n">
        <v>45635</v>
      </c>
      <c r="E192" s="6" t="n">
        <v>45642</v>
      </c>
      <c r="F192" s="7" t="n">
        <v>45824</v>
      </c>
      <c r="G192" t="inlineStr">
        <is>
          <t>Computational Science; HPC</t>
        </is>
      </c>
      <c r="H192" s="3">
        <f>IF(ISERROR(DATEVALUE(MID(D192, FIND(" ", D192)+1, FIND(",", D192)-FIND(" ", D192)-1) &amp; "-" &amp; LEFT(D192, FIND(" ", D192)-1) &amp; "-" &amp; RIGHT(D192, 4))), "20260101", TEXT(DATEVALUE(MID(D192, FIND(" ", D192)+1, FIND(",", D192)-FIND(" ", D192)-1) &amp; "-" &amp; LEFT(D192, FIND(" ", D192)-1) &amp; "-" &amp; RIGHT(D192, 4)), "YYYYMMDD"))</f>
        <v/>
      </c>
      <c r="I192" s="4" t="inlineStr">
        <is>
          <t>A</t>
        </is>
      </c>
    </row>
    <row r="193">
      <c r="A193" t="inlineStr">
        <is>
          <t>IEEE International Conference on Distributed Computing Systems (ICDCS 2025)</t>
        </is>
      </c>
      <c r="B193" t="inlineStr">
        <is>
          <t>https://icdcs2025.icdcs.org/</t>
        </is>
      </c>
      <c r="C193" t="inlineStr">
        <is>
          <t>Glasgow, UK</t>
        </is>
      </c>
      <c r="D193" s="6" t="n">
        <v>45684</v>
      </c>
      <c r="E193" s="6" t="n">
        <v>45691</v>
      </c>
      <c r="F193" s="7" t="n">
        <v>45858</v>
      </c>
      <c r="G193" t="inlineStr">
        <is>
          <t>Distributed Computing Systems</t>
        </is>
      </c>
      <c r="H193" s="3">
        <f>IF(ISERROR(DATEVALUE(MID(D193, FIND(" ", D193)+1, FIND(",", D193)-FIND(" ", D193)-1) &amp; "-" &amp; LEFT(D193, FIND(" ", D193)-1) &amp; "-" &amp; RIGHT(D193, 4))), "20260101", TEXT(DATEVALUE(MID(D193, FIND(" ", D193)+1, FIND(",", D193)-FIND(" ", D193)-1) &amp; "-" &amp; LEFT(D193, FIND(" ", D193)-1) &amp; "-" &amp; RIGHT(D193, 4)), "YYYYMMDD"))</f>
        <v/>
      </c>
      <c r="I193" s="4" t="inlineStr">
        <is>
          <t>A</t>
        </is>
      </c>
    </row>
    <row r="194">
      <c r="A194" t="inlineStr">
        <is>
          <t>International Conference on Database Theory (ICDT 2025)</t>
        </is>
      </c>
      <c r="B194" t="inlineStr">
        <is>
          <t>https://databasetheory.org/icdt2025/</t>
        </is>
      </c>
      <c r="C194" t="inlineStr">
        <is>
          <t>Utrecht, Netherlands</t>
        </is>
      </c>
      <c r="D194" s="6" t="n">
        <v>45566</v>
      </c>
      <c r="E194" s="6" t="n">
        <v>45573</v>
      </c>
      <c r="F194" s="7" t="n">
        <v>45740</v>
      </c>
      <c r="G194" t="inlineStr">
        <is>
          <t>Database Theory</t>
        </is>
      </c>
      <c r="H194" s="3">
        <f>IF(ISERROR(DATEVALUE(MID(D194, FIND(" ", D194)+1, FIND(",", D194)-FIND(" ", D194)-1) &amp; "-" &amp; LEFT(D194, FIND(" ", D194)-1) &amp; "-" &amp; RIGHT(D194, 4))), "20260101", TEXT(DATEVALUE(MID(D194, FIND(" ", D194)+1, FIND(",", D194)-FIND(" ", D194)-1) &amp; "-" &amp; LEFT(D194, FIND(" ", D194)-1) &amp; "-" &amp; RIGHT(D194, 4)), "YYYYMMDD"))</f>
        <v/>
      </c>
      <c r="I194" s="4" t="inlineStr">
        <is>
          <t>A</t>
        </is>
      </c>
    </row>
    <row r="195">
      <c r="A195" t="inlineStr">
        <is>
          <t>International Conference on Logic Programming (ICLP 2025)</t>
        </is>
      </c>
      <c r="B195" t="inlineStr">
        <is>
          <t>https://iclp2025.org/</t>
        </is>
      </c>
      <c r="C195" t="inlineStr">
        <is>
          <t>Perth, Australia</t>
        </is>
      </c>
      <c r="D195" s="6" t="n">
        <v>45726</v>
      </c>
      <c r="E195" s="6" t="n">
        <v>45733</v>
      </c>
      <c r="F195" s="7" t="n">
        <v>45908</v>
      </c>
      <c r="G195" t="inlineStr">
        <is>
          <t>Logic Programming; AI</t>
        </is>
      </c>
      <c r="H195" s="3">
        <f>IF(ISERROR(DATEVALUE(MID(D195, FIND(" ", D195)+1, FIND(",", D195)-FIND(" ", D195)-1) &amp; "-" &amp; LEFT(D195, FIND(" ", D195)-1) &amp; "-" &amp; RIGHT(D195, 4))), "20260101", TEXT(DATEVALUE(MID(D195, FIND(" ", D195)+1, FIND(",", D195)-FIND(" ", D195)-1) &amp; "-" &amp; LEFT(D195, FIND(" ", D195)-1) &amp; "-" &amp; RIGHT(D195, 4)), "YYYYMMDD"))</f>
        <v/>
      </c>
      <c r="I195" s="4" t="inlineStr">
        <is>
          <t>A</t>
        </is>
      </c>
    </row>
    <row r="196">
      <c r="A196" t="inlineStr">
        <is>
          <t>International Conference on Neural Information Processing (ICONIP 2025)</t>
        </is>
      </c>
      <c r="B196" t="inlineStr">
        <is>
          <t>https://iconip2025.apnns.org/</t>
        </is>
      </c>
      <c r="C196" t="inlineStr">
        <is>
          <t>Okinawa, Japan</t>
        </is>
      </c>
      <c r="D196" s="6" t="n">
        <v>45792</v>
      </c>
      <c r="E196" s="6" t="n">
        <v>45792</v>
      </c>
      <c r="F196" s="7" t="n">
        <v>45981</v>
      </c>
      <c r="G196" t="inlineStr">
        <is>
          <t>Neural Networks; Machine Learning</t>
        </is>
      </c>
      <c r="H196" s="3">
        <f>IF(ISERROR(DATEVALUE(MID(D196, FIND(" ", D196)+1, FIND(",", D196)-FIND(" ", D196)-1) &amp; "-" &amp; LEFT(D196, FIND(" ", D196)-1) &amp; "-" &amp; RIGHT(D196, 4))), "20260101", TEXT(DATEVALUE(MID(D196, FIND(" ", D196)+1, FIND(",", D196)-FIND(" ", D196)-1) &amp; "-" &amp; LEFT(D196, FIND(" ", D196)-1) &amp; "-" &amp; RIGHT(D196, 4)), "YYYYMMDD"))</f>
        <v/>
      </c>
      <c r="I196" s="4" t="inlineStr">
        <is>
          <t>A</t>
        </is>
      </c>
    </row>
    <row r="197">
      <c r="A197" t="inlineStr">
        <is>
          <t>IEEE International Conference on Parallel Processing (ICPP 2025)</t>
        </is>
      </c>
      <c r="B197" t="inlineStr">
        <is>
          <t>https://www.icpp-conf.org/</t>
        </is>
      </c>
      <c r="C197" t="inlineStr">
        <is>
          <t>San Diego, CA, USA</t>
        </is>
      </c>
      <c r="D197" s="6" t="n">
        <v>45768</v>
      </c>
      <c r="E197" s="6" t="n">
        <v>45768</v>
      </c>
      <c r="F197" s="7" t="n">
        <v>45908</v>
      </c>
      <c r="G197" t="inlineStr">
        <is>
          <t>Parallel Processing; HPC</t>
        </is>
      </c>
      <c r="H197" s="3">
        <f>IF(ISERROR(DATEVALUE(MID(D197, FIND(" ", D197)+1, FIND(",", D197)-FIND(" ", D197)-1) &amp; "-" &amp; LEFT(D197, FIND(" ", D197)-1) &amp; "-" &amp; RIGHT(D197, 4))), "20260101", TEXT(DATEVALUE(MID(D197, FIND(" ", D197)+1, FIND(",", D197)-FIND(" ", D197)-1) &amp; "-" &amp; LEFT(D197, FIND(" ", D197)-1) &amp; "-" &amp; RIGHT(D197, 4)), "YYYYMMDD"))</f>
        <v/>
      </c>
      <c r="I197" s="4" t="inlineStr">
        <is>
          <t>A</t>
        </is>
      </c>
    </row>
    <row r="198">
      <c r="A198" t="inlineStr">
        <is>
          <t>ACM International Conference on Supercomputing (ICS 2025)</t>
        </is>
      </c>
      <c r="B198" t="inlineStr">
        <is>
          <t>https://hpcrl.github.io/ICS2025-webpage/</t>
        </is>
      </c>
      <c r="C198" t="inlineStr">
        <is>
          <t>Salt Lake City, UT, USA</t>
        </is>
      </c>
      <c r="D198" s="6" t="n">
        <v>45687</v>
      </c>
      <c r="E198" s="6" t="n">
        <v>45687</v>
      </c>
      <c r="F198" s="7" t="n">
        <v>45816</v>
      </c>
      <c r="G198" t="inlineStr">
        <is>
          <t>Supercomputing; HPC</t>
        </is>
      </c>
      <c r="H198" s="3">
        <f>IF(ISERROR(DATEVALUE(MID(D198, FIND(" ", D198)+1, FIND(",", D198)-FIND(" ", D198)-1) &amp; "-" &amp; LEFT(D198, FIND(" ", D198)-1) &amp; "-" &amp; RIGHT(D198, 4))), "20260101", TEXT(DATEVALUE(MID(D198, FIND(" ", D198)+1, FIND(",", D198)-FIND(" ", D198)-1) &amp; "-" &amp; LEFT(D198, FIND(" ", D198)-1) &amp; "-" &amp; RIGHT(D198, 4)), "YYYYMMDD"))</f>
        <v/>
      </c>
      <c r="I198" s="4" t="inlineStr">
        <is>
          <t>A</t>
        </is>
      </c>
    </row>
    <row r="199">
      <c r="A199" t="inlineStr">
        <is>
          <t>IEEE International Conference on Software Maintenance &amp; Evolution (ICSME 2025)</t>
        </is>
      </c>
      <c r="B199" t="inlineStr">
        <is>
          <t>https://conf.researchr.org/home/icsme-2025</t>
        </is>
      </c>
      <c r="C199" t="inlineStr">
        <is>
          <t>Auckland, New Zealand</t>
        </is>
      </c>
      <c r="D199" s="6" t="n">
        <v>45730</v>
      </c>
      <c r="E199" s="6" t="n">
        <v>45730</v>
      </c>
      <c r="F199" s="7" t="n">
        <v>45929</v>
      </c>
      <c r="G199" t="inlineStr">
        <is>
          <t>Software Maintenance &amp; Evolution</t>
        </is>
      </c>
      <c r="H199" s="3">
        <f>IF(ISERROR(DATEVALUE(MID(D199, FIND(" ", D199)+1, FIND(",", D199)-FIND(" ", D199)-1) &amp; "-" &amp; LEFT(D199, FIND(" ", D199)-1) &amp; "-" &amp; RIGHT(D199, 4))), "20260101", TEXT(DATEVALUE(MID(D199, FIND(" ", D199)+1, FIND(",", D199)-FIND(" ", D199)-1) &amp; "-" &amp; LEFT(D199, FIND(" ", D199)-1) &amp; "-" &amp; RIGHT(D199, 4)), "YYYYMMDD"))</f>
        <v/>
      </c>
      <c r="I199" s="4" t="inlineStr">
        <is>
          <t>A</t>
        </is>
      </c>
    </row>
    <row r="200">
      <c r="A200" t="inlineStr">
        <is>
          <t>International Conference on Service-Oriented Computing (ICSOC 2025)</t>
        </is>
      </c>
      <c r="B200" t="inlineStr">
        <is>
          <t>https://icsoc2025.hit.edu.cn/</t>
        </is>
      </c>
      <c r="C200" t="inlineStr">
        <is>
          <t>Harbin, China</t>
        </is>
      </c>
      <c r="D200" s="6" t="n">
        <v>45786</v>
      </c>
      <c r="E200" s="6" t="n">
        <v>45786</v>
      </c>
      <c r="F200" s="7" t="n">
        <v>45992</v>
      </c>
      <c r="G200" t="inlineStr">
        <is>
          <t>Service-Oriented Architecture; Web Services</t>
        </is>
      </c>
      <c r="H200" s="3">
        <f>IF(ISERROR(DATEVALUE(MID(D200, FIND(" ", D200)+1, FIND(",", D200)-FIND(" ", D200)-1) &amp; "-" &amp; LEFT(D200, FIND(" ", D200)-1) &amp; "-" &amp; RIGHT(D200, 4))), "20260101", TEXT(DATEVALUE(MID(D200, FIND(" ", D200)+1, FIND(",", D200)-FIND(" ", D200)-1) &amp; "-" &amp; LEFT(D200, FIND(" ", D200)-1) &amp; "-" &amp; RIGHT(D200, 4)), "YYYYMMDD"))</f>
        <v/>
      </c>
      <c r="I200" s="4" t="inlineStr">
        <is>
          <t>A</t>
        </is>
      </c>
    </row>
    <row r="201">
      <c r="A201" t="inlineStr">
        <is>
          <t>IEEE International Symposium on Artificial Life (IEEE-Alife 2025)</t>
        </is>
      </c>
      <c r="B201" t="inlineStr">
        <is>
          <t>https://2025.alife.org/</t>
        </is>
      </c>
      <c r="C201" t="inlineStr">
        <is>
          <t>Kyoto, Japan</t>
        </is>
      </c>
      <c r="D201" s="6" t="n">
        <v>45818</v>
      </c>
      <c r="E201" s="6" t="n">
        <v>45818</v>
      </c>
      <c r="F201" s="7" t="n">
        <v>45936</v>
      </c>
      <c r="G201" t="inlineStr">
        <is>
          <t>Artificial Life; Complex Systems</t>
        </is>
      </c>
      <c r="H201" s="3">
        <f>IF(ISERROR(DATEVALUE(MID(D201, FIND(" ", D201)+1, FIND(",", D201)-FIND(" ", D201)-1) &amp; "-" &amp; LEFT(D201, FIND(" ", D201)-1) &amp; "-" &amp; RIGHT(D201, 4))), "20260101", TEXT(DATEVALUE(MID(D201, FIND(" ", D201)+1, FIND(",", D201)-FIND(" ", D201)-1) &amp; "-" &amp; LEFT(D201, FIND(" ", D201)-1) &amp; "-" &amp; RIGHT(D201, 4)), "YYYYMMDD"))</f>
        <v/>
      </c>
      <c r="I201" s="4" t="inlineStr">
        <is>
          <t>A</t>
        </is>
      </c>
    </row>
    <row r="202">
      <c r="A202" t="inlineStr">
        <is>
          <t>IEEE Congress on Evolutionary Computation (CEC 2025)</t>
        </is>
      </c>
      <c r="B202" t="inlineStr">
        <is>
          <t>https://cec2025.org/</t>
        </is>
      </c>
      <c r="C202" t="inlineStr">
        <is>
          <t>Guadalajara, Mexico</t>
        </is>
      </c>
      <c r="D202" s="6" t="n">
        <v>45670</v>
      </c>
      <c r="E202" s="6" t="n">
        <v>45677</v>
      </c>
      <c r="F202" s="7" t="n">
        <v>45837</v>
      </c>
      <c r="G202" t="inlineStr">
        <is>
          <t>Evolutionary Computation</t>
        </is>
      </c>
      <c r="H202" s="3">
        <f>IF(ISERROR(DATEVALUE(MID(D202, FIND(" ", D202)+1, FIND(",", D202)-FIND(" ", D202)-1) &amp; "-" &amp; LEFT(D202, FIND(" ", D202)-1) &amp; "-" &amp; RIGHT(D202, 4))), "20260101", TEXT(DATEVALUE(MID(D202, FIND(" ", D202)+1, FIND(",", D202)-FIND(" ", D202)-1) &amp; "-" &amp; LEFT(D202, FIND(" ", D202)-1) &amp; "-" &amp; RIGHT(D202, 4)), "YYYYMMDD"))</f>
        <v/>
      </c>
      <c r="I202" s="4" t="inlineStr">
        <is>
          <t>A</t>
        </is>
      </c>
    </row>
    <row r="203">
      <c r="A203" t="inlineStr">
        <is>
          <t>IEEE VIS 2025 (Visualization)</t>
        </is>
      </c>
      <c r="B203" t="inlineStr">
        <is>
          <t>https://ieeevis.org/year/2025/welcome</t>
        </is>
      </c>
      <c r="C203" t="inlineStr">
        <is>
          <t>Vienna, Austria</t>
        </is>
      </c>
      <c r="D203" s="6" t="n">
        <v>45738</v>
      </c>
      <c r="E203" s="6" t="n">
        <v>45747</v>
      </c>
      <c r="F203" s="7" t="n">
        <v>45963</v>
      </c>
      <c r="G203" t="inlineStr">
        <is>
          <t>Visualization; Visual Analytics</t>
        </is>
      </c>
      <c r="H203" s="3">
        <f>IF(ISERROR(DATEVALUE(MID(D203, FIND(" ", D203)+1, FIND(",", D203)-FIND(" ", D203)-1) &amp; "-" &amp; LEFT(D203, FIND(" ", D203)-1) &amp; "-" &amp; RIGHT(D203, 4))), "20260101", TEXT(DATEVALUE(MID(D203, FIND(" ", D203)+1, FIND(",", D203)-FIND(" ", D203)-1) &amp; "-" &amp; LEFT(D203, FIND(" ", D203)-1) &amp; "-" &amp; RIGHT(D203, 4)), "YYYYMMDD"))</f>
        <v/>
      </c>
      <c r="I203" s="4" t="inlineStr">
        <is>
          <t>A</t>
        </is>
      </c>
    </row>
    <row r="204">
      <c r="A204" t="inlineStr">
        <is>
          <t>IFIP TC13 Conference on Human-Computer Interaction (INTERACT 2025)</t>
        </is>
      </c>
      <c r="B204" t="inlineStr">
        <is>
          <t>https://interact2025.org/</t>
        </is>
      </c>
      <c r="C204" t="inlineStr">
        <is>
          <t>Poznań, Poland</t>
        </is>
      </c>
      <c r="D204" s="6" t="n">
        <v>45681</v>
      </c>
      <c r="E204" s="6" t="n">
        <v>45695</v>
      </c>
      <c r="F204" s="7" t="n">
        <v>45908</v>
      </c>
      <c r="G204" t="inlineStr">
        <is>
          <t>Human-Computer Interaction</t>
        </is>
      </c>
      <c r="H204" s="3">
        <f>IF(ISERROR(DATEVALUE(MID(D204, FIND(" ", D204)+1, FIND(",", D204)-FIND(" ", D204)-1) &amp; "-" &amp; LEFT(D204, FIND(" ", D204)-1) &amp; "-" &amp; RIGHT(D204, 4))), "20260101", TEXT(DATEVALUE(MID(D204, FIND(" ", D204)+1, FIND(",", D204)-FIND(" ", D204)-1) &amp; "-" &amp; LEFT(D204, FIND(" ", D204)-1) &amp; "-" &amp; RIGHT(D204, 4)), "YYYYMMDD"))</f>
        <v/>
      </c>
      <c r="I204" s="4" t="inlineStr">
        <is>
          <t>A</t>
        </is>
      </c>
    </row>
    <row r="205">
      <c r="A205" t="inlineStr">
        <is>
          <t>Interspeech 2025</t>
        </is>
      </c>
      <c r="B205" t="inlineStr">
        <is>
          <t>https://www.interspeech2025.org/</t>
        </is>
      </c>
      <c r="C205" t="inlineStr">
        <is>
          <t>Rotterdam, Netherlands</t>
        </is>
      </c>
      <c r="D205" s="6" t="inlineStr">
        <is>
          <t>February 12 2025</t>
        </is>
      </c>
      <c r="E205" s="6" t="inlineStr">
        <is>
          <t>February 12 2025</t>
        </is>
      </c>
      <c r="F205" t="inlineStr">
        <is>
          <t>August 17 2025</t>
        </is>
      </c>
      <c r="G205" t="inlineStr">
        <is>
          <t>Speech Processing</t>
        </is>
      </c>
      <c r="H205" s="3">
        <f>IF(ISERROR(DATEVALUE(MID(D205, FIND(" ", D205)+1, FIND(",", D205)-FIND(" ", D205)-1) &amp; "-" &amp; LEFT(D205, FIND(" ", D205)-1) &amp; "-" &amp; RIGHT(D205, 4))), "20260101", TEXT(DATEVALUE(MID(D205, FIND(" ", D205)+1, FIND(",", D205)-FIND(" ", D205)-1) &amp; "-" &amp; LEFT(D205, FIND(" ", D205)-1) &amp; "-" &amp; RIGHT(D205, 4)), "YYYYMMDD"))</f>
        <v/>
      </c>
      <c r="I205" s="4" t="inlineStr">
        <is>
          <t>A</t>
        </is>
      </c>
    </row>
    <row r="206">
      <c r="A206" t="inlineStr">
        <is>
          <t>IPCO 2025</t>
        </is>
      </c>
      <c r="B206" t="inlineStr">
        <is>
          <t>https://ipco25.cs.jhu.edu/</t>
        </is>
      </c>
      <c r="C206" t="inlineStr">
        <is>
          <t>Baltimore, Maryland USA</t>
        </is>
      </c>
      <c r="D206" s="6" t="inlineStr">
        <is>
          <t>November 4 2024</t>
        </is>
      </c>
      <c r="E206" s="6" t="inlineStr">
        <is>
          <t>November 4 2024</t>
        </is>
      </c>
      <c r="F206" t="inlineStr">
        <is>
          <t>June 11 2025</t>
        </is>
      </c>
      <c r="G206" t="inlineStr">
        <is>
          <t>Integer Programming; Combinatorial Optimization</t>
        </is>
      </c>
      <c r="H206" s="3">
        <f>IF(ISERROR(DATEVALUE(MID(D206, FIND(" ", D206)+1, FIND(",", D206)-FIND(" ", D206)-1) &amp; "-" &amp; LEFT(D206, FIND(" ", D206)-1) &amp; "-" &amp; RIGHT(D206, 4))), "20260101", TEXT(DATEVALUE(MID(D206, FIND(" ", D206)+1, FIND(",", D206)-FIND(" ", D206)-1) &amp; "-" &amp; LEFT(D206, FIND(" ", D206)-1) &amp; "-" &amp; RIGHT(D206, 4)), "YYYYMMDD"))</f>
        <v/>
      </c>
      <c r="I206" s="4" t="inlineStr">
        <is>
          <t>A</t>
        </is>
      </c>
    </row>
    <row r="207">
      <c r="A207" t="inlineStr">
        <is>
          <t>IPDPS 2025</t>
        </is>
      </c>
      <c r="B207" t="inlineStr">
        <is>
          <t>https://www.ipdps.org/ipdps2025/</t>
        </is>
      </c>
      <c r="C207" t="inlineStr">
        <is>
          <t>Milan, Italy</t>
        </is>
      </c>
      <c r="D207" s="6" t="inlineStr">
        <is>
          <t>October 3 2024</t>
        </is>
      </c>
      <c r="E207" s="6" t="inlineStr">
        <is>
          <t>October 10 2024</t>
        </is>
      </c>
      <c r="F207" t="inlineStr">
        <is>
          <t>June 5 2025</t>
        </is>
      </c>
      <c r="G207" t="inlineStr">
        <is>
          <t>Parallel &amp; Distributed Processing</t>
        </is>
      </c>
      <c r="H207" s="3">
        <f>IF(ISERROR(DATEVALUE(MID(D207, FIND(" ", D207)+1, FIND(",", D207)-FIND(" ", D207)-1) &amp; "-" &amp; LEFT(D207, FIND(" ", D207)-1) &amp; "-" &amp; RIGHT(D207, 4))), "20260101", TEXT(DATEVALUE(MID(D207, FIND(" ", D207)+1, FIND(",", D207)-FIND(" ", D207)-1) &amp; "-" &amp; LEFT(D207, FIND(" ", D207)-1) &amp; "-" &amp; RIGHT(D207, 4)), "YYYYMMDD"))</f>
        <v/>
      </c>
      <c r="I207" s="4" t="inlineStr">
        <is>
          <t>A</t>
        </is>
      </c>
    </row>
    <row r="208">
      <c r="A208" t="inlineStr">
        <is>
          <t>ISAAC 2025</t>
        </is>
      </c>
      <c r="B208" t="inlineStr">
        <is>
          <t>https://isaac2025.csie.ncku.edu.tw/</t>
        </is>
      </c>
      <c r="C208" t="inlineStr">
        <is>
          <t>Tainan, Taiwan</t>
        </is>
      </c>
      <c r="D208" s="6" t="inlineStr">
        <is>
          <t>June 30 2025</t>
        </is>
      </c>
      <c r="E208" s="6" t="inlineStr">
        <is>
          <t>June 30 2025</t>
        </is>
      </c>
      <c r="F208" t="inlineStr">
        <is>
          <t>December 8 2025</t>
        </is>
      </c>
      <c r="G208" t="inlineStr">
        <is>
          <t>Algorithms; Theoretical CS</t>
        </is>
      </c>
      <c r="H208" s="3">
        <f>IF(ISERROR(DATEVALUE(MID(D208, FIND(" ", D208)+1, FIND(",", D208)-FIND(" ", D208)-1) &amp; "-" &amp; LEFT(D208, FIND(" ", D208)-1) &amp; "-" &amp; RIGHT(D208, 4))), "20260101", TEXT(DATEVALUE(MID(D208, FIND(" ", D208)+1, FIND(",", D208)-FIND(" ", D208)-1) &amp; "-" &amp; LEFT(D208, FIND(" ", D208)-1) &amp; "-" &amp; RIGHT(D208, 4)), "YYYYMMDD"))</f>
        <v/>
      </c>
      <c r="I208" s="4" t="inlineStr">
        <is>
          <t>A</t>
        </is>
      </c>
    </row>
    <row r="209">
      <c r="A209" t="inlineStr">
        <is>
          <t>ISD 2025</t>
        </is>
      </c>
      <c r="B209" t="inlineStr">
        <is>
          <t>https://isd2025.fon.bg.ac.rs/</t>
        </is>
      </c>
      <c r="C209" t="inlineStr">
        <is>
          <t>Belgrade, Serbia</t>
        </is>
      </c>
      <c r="D209" s="6" t="inlineStr">
        <is>
          <t>May 1 2025</t>
        </is>
      </c>
      <c r="E209" s="6" t="inlineStr">
        <is>
          <t>May 1 2025</t>
        </is>
      </c>
      <c r="F209" t="inlineStr">
        <is>
          <t>September 3 2025</t>
        </is>
      </c>
      <c r="G209" t="inlineStr">
        <is>
          <t>Information Systems Development</t>
        </is>
      </c>
      <c r="H209" s="3">
        <f>IF(ISERROR(DATEVALUE(MID(D209, FIND(" ", D209)+1, FIND(",", D209)-FIND(" ", D209)-1) &amp; "-" &amp; LEFT(D209, FIND(" ", D209)-1) &amp; "-" &amp; RIGHT(D209, 4))), "20260101", TEXT(DATEVALUE(MID(D209, FIND(" ", D209)+1, FIND(",", D209)-FIND(" ", D209)-1) &amp; "-" &amp; LEFT(D209, FIND(" ", D209)-1) &amp; "-" &amp; RIGHT(D209, 4)), "YYYYMMDD"))</f>
        <v/>
      </c>
      <c r="I209" s="4" t="inlineStr">
        <is>
          <t>A</t>
        </is>
      </c>
    </row>
    <row r="210">
      <c r="A210" t="inlineStr">
        <is>
          <t>ISMB / ECCB 2025</t>
        </is>
      </c>
      <c r="B210" t="inlineStr">
        <is>
          <t>https://www.iscb.org/ismbeccb2025/</t>
        </is>
      </c>
      <c r="C210" t="inlineStr">
        <is>
          <t>Liverpool, United Kingdom</t>
        </is>
      </c>
      <c r="D210" s="6" t="inlineStr">
        <is>
          <t>April 17 2025</t>
        </is>
      </c>
      <c r="E210" s="6" t="inlineStr">
        <is>
          <t>January 23 2025</t>
        </is>
      </c>
      <c r="F210" t="inlineStr">
        <is>
          <t>July 20 2025</t>
        </is>
      </c>
      <c r="G210" t="inlineStr">
        <is>
          <t>Bioinformatics; Computational Biology</t>
        </is>
      </c>
      <c r="H210" s="3">
        <f>IF(ISERROR(DATEVALUE(MID(D210, FIND(" ", D210)+1, FIND(",", D210)-FIND(" ", D210)-1) &amp; "-" &amp; LEFT(D210, FIND(" ", D210)-1) &amp; "-" &amp; RIGHT(D210, 4))), "20260101", TEXT(DATEVALUE(MID(D210, FIND(" ", D210)+1, FIND(",", D210)-FIND(" ", D210)-1) &amp; "-" &amp; LEFT(D210, FIND(" ", D210)-1) &amp; "-" &amp; RIGHT(D210, 4)), "YYYYMMDD"))</f>
        <v/>
      </c>
      <c r="I210" s="4" t="inlineStr">
        <is>
          <t>A</t>
        </is>
      </c>
    </row>
    <row r="211">
      <c r="A211" t="inlineStr">
        <is>
          <t>ISMM 2025</t>
        </is>
      </c>
      <c r="B211" t="inlineStr">
        <is>
          <t>https://conf.researchr.org/home/ismm-2025</t>
        </is>
      </c>
      <c r="C211" t="inlineStr">
        <is>
          <t>Seoul, South Korea</t>
        </is>
      </c>
      <c r="D211" s="6" t="inlineStr">
        <is>
          <t>March 18 2025</t>
        </is>
      </c>
      <c r="E211" s="6" t="inlineStr">
        <is>
          <t>March 18 2025</t>
        </is>
      </c>
      <c r="F211" t="inlineStr">
        <is>
          <t>June 17 2025</t>
        </is>
      </c>
      <c r="G211" t="inlineStr">
        <is>
          <t>Memory Management</t>
        </is>
      </c>
      <c r="H211" s="3">
        <f>IF(ISERROR(DATEVALUE(MID(D211, FIND(" ", D211)+1, FIND(",", D211)-FIND(" ", D211)-1) &amp; "-" &amp; LEFT(D211, FIND(" ", D211)-1) &amp; "-" &amp; RIGHT(D211, 4))), "20260101", TEXT(DATEVALUE(MID(D211, FIND(" ", D211)+1, FIND(",", D211)-FIND(" ", D211)-1) &amp; "-" &amp; LEFT(D211, FIND(" ", D211)-1) &amp; "-" &amp; RIGHT(D211, 4)), "YYYYMMDD"))</f>
        <v/>
      </c>
      <c r="I211" s="4" t="inlineStr">
        <is>
          <t>A</t>
        </is>
      </c>
    </row>
    <row r="212">
      <c r="A212" t="inlineStr">
        <is>
          <t>ISSRE 2025</t>
        </is>
      </c>
      <c r="B212" t="inlineStr">
        <is>
          <t>https://issre.github.io/2025/</t>
        </is>
      </c>
      <c r="C212" t="inlineStr">
        <is>
          <t>São Paulo, Brazil</t>
        </is>
      </c>
      <c r="D212" s="6" t="inlineStr">
        <is>
          <t>May 5 2025</t>
        </is>
      </c>
      <c r="E212" s="6" t="inlineStr">
        <is>
          <t>May 5 2025</t>
        </is>
      </c>
      <c r="F212" t="inlineStr">
        <is>
          <t>October 21 2025</t>
        </is>
      </c>
      <c r="G212" t="inlineStr">
        <is>
          <t>Software Reliability Engineering</t>
        </is>
      </c>
      <c r="H212" s="3">
        <f>IF(ISERROR(DATEVALUE(MID(D212, FIND(" ", D212)+1, FIND(",", D212)-FIND(" ", D212)-1) &amp; "-" &amp; LEFT(D212, FIND(" ", D212)-1) &amp; "-" &amp; RIGHT(D212, 4))), "20260101", TEXT(DATEVALUE(MID(D212, FIND(" ", D212)+1, FIND(",", D212)-FIND(" ", D212)-1) &amp; "-" &amp; LEFT(D212, FIND(" ", D212)-1) &amp; "-" &amp; RIGHT(D212, 4)), "YYYYMMDD"))</f>
        <v/>
      </c>
      <c r="I212" s="4" t="inlineStr">
        <is>
          <t>A</t>
        </is>
      </c>
    </row>
    <row r="213">
      <c r="A213" t="inlineStr">
        <is>
          <t>ISSTA 2025</t>
        </is>
      </c>
      <c r="B213" t="inlineStr">
        <is>
          <t>https://conf.researchr.org/home/issta-2025</t>
        </is>
      </c>
      <c r="C213" t="inlineStr">
        <is>
          <t>Trondheim, Norway</t>
        </is>
      </c>
      <c r="D213" s="6" t="inlineStr">
        <is>
          <t>October 31 2024</t>
        </is>
      </c>
      <c r="E213" s="6" t="inlineStr">
        <is>
          <t>October 31 2024</t>
        </is>
      </c>
      <c r="F213" t="inlineStr">
        <is>
          <t>June 25 2025</t>
        </is>
      </c>
      <c r="G213" t="inlineStr">
        <is>
          <t>Software Testing &amp; Analysis</t>
        </is>
      </c>
      <c r="H213" s="3">
        <f>IF(ISERROR(DATEVALUE(MID(D213, FIND(" ", D213)+1, FIND(",", D213)-FIND(" ", D213)-1) &amp; "-" &amp; LEFT(D213, FIND(" ", D213)-1) &amp; "-" &amp; RIGHT(D213, 4))), "20260101", TEXT(DATEVALUE(MID(D213, FIND(" ", D213)+1, FIND(",", D213)-FIND(" ", D213)-1) &amp; "-" &amp; LEFT(D213, FIND(" ", D213)-1) &amp; "-" &amp; RIGHT(D213, 4)), "YYYYMMDD"))</f>
        <v/>
      </c>
      <c r="I213" s="4" t="inlineStr">
        <is>
          <t>A</t>
        </is>
      </c>
    </row>
    <row r="214">
      <c r="A214" t="inlineStr">
        <is>
          <t>ITiCSE 2025</t>
        </is>
      </c>
      <c r="B214" t="inlineStr">
        <is>
          <t>https://iticse.acm.org/2025/</t>
        </is>
      </c>
      <c r="C214" t="inlineStr">
        <is>
          <t>Nijmegen, Netherlands</t>
        </is>
      </c>
      <c r="D214" s="6" t="inlineStr">
        <is>
          <t>January 12 2025</t>
        </is>
      </c>
      <c r="E214" s="6" t="inlineStr">
        <is>
          <t>January 19 2025</t>
        </is>
      </c>
      <c r="F214" t="inlineStr">
        <is>
          <t>June 30 2025</t>
        </is>
      </c>
      <c r="G214" t="inlineStr">
        <is>
          <t>Computer Science Education</t>
        </is>
      </c>
      <c r="H214" s="3">
        <f>IF(ISERROR(DATEVALUE(MID(D214, FIND(" ", D214)+1, FIND(",", D214)-FIND(" ", D214)-1) &amp; "-" &amp; LEFT(D214, FIND(" ", D214)-1) &amp; "-" &amp; RIGHT(D214, 4))), "20260101", TEXT(DATEVALUE(MID(D214, FIND(" ", D214)+1, FIND(",", D214)-FIND(" ", D214)-1) &amp; "-" &amp; LEFT(D214, FIND(" ", D214)-1) &amp; "-" &amp; RIGHT(D214, 4)), "YYYYMMDD"))</f>
        <v/>
      </c>
      <c r="I214" s="4" t="inlineStr">
        <is>
          <t>A</t>
        </is>
      </c>
    </row>
    <row r="215">
      <c r="A215" t="inlineStr">
        <is>
          <t>ITS 2025</t>
        </is>
      </c>
      <c r="B215" t="inlineStr">
        <is>
          <t>https://easychair.org/cfp/ITS2025</t>
        </is>
      </c>
      <c r="C215" t="inlineStr">
        <is>
          <t>Alexandroupolis, Greece</t>
        </is>
      </c>
      <c r="D215" s="6" t="inlineStr">
        <is>
          <t>February 3 2025</t>
        </is>
      </c>
      <c r="E215" s="6" t="inlineStr">
        <is>
          <t>March 7 2025</t>
        </is>
      </c>
      <c r="F215" t="inlineStr">
        <is>
          <t>June 2 2025</t>
        </is>
      </c>
      <c r="G215" t="inlineStr">
        <is>
          <t>Intelligent Tutoring Systems; AI in Education</t>
        </is>
      </c>
      <c r="H215" s="3">
        <f>IF(ISERROR(DATEVALUE(MID(D215, FIND(" ", D215)+1, FIND(",", D215)-FIND(" ", D215)-1) &amp; "-" &amp; LEFT(D215, FIND(" ", D215)-1) &amp; "-" &amp; RIGHT(D215, 4))), "20260101", TEXT(DATEVALUE(MID(D215, FIND(" ", D215)+1, FIND(",", D215)-FIND(" ", D215)-1) &amp; "-" &amp; LEFT(D215, FIND(" ", D215)-1) &amp; "-" &amp; RIGHT(D215, 4)), "YYYYMMDD"))</f>
        <v/>
      </c>
      <c r="I215" s="4" t="inlineStr">
        <is>
          <t>A</t>
        </is>
      </c>
    </row>
    <row r="216">
      <c r="A216" t="inlineStr">
        <is>
          <t>IUI 2025</t>
        </is>
      </c>
      <c r="B216" t="inlineStr">
        <is>
          <t>https://iui.acm.org/2025/</t>
        </is>
      </c>
      <c r="C216" t="inlineStr">
        <is>
          <t>Cagliari, Italy</t>
        </is>
      </c>
      <c r="D216" s="6" t="inlineStr">
        <is>
          <t>October 3 2024</t>
        </is>
      </c>
      <c r="E216" s="6" t="inlineStr">
        <is>
          <t>October 10 2024</t>
        </is>
      </c>
      <c r="F216" t="inlineStr">
        <is>
          <t>March 24 2025</t>
        </is>
      </c>
      <c r="G216" t="inlineStr">
        <is>
          <t>Intelligent User Interfaces; HCI &amp; AI</t>
        </is>
      </c>
      <c r="H216" s="3">
        <f>IF(ISERROR(DATEVALUE(MID(D216, FIND(" ", D216)+1, FIND(",", D216)-FIND(" ", D216)-1) &amp; "-" &amp; LEFT(D216, FIND(" ", D216)-1) &amp; "-" &amp; RIGHT(D216, 4))), "20260101", TEXT(DATEVALUE(MID(D216, FIND(" ", D216)+1, FIND(",", D216)-FIND(" ", D216)-1) &amp; "-" &amp; LEFT(D216, FIND(" ", D216)-1) &amp; "-" &amp; RIGHT(D216, 4)), "YYYYMMDD"))</f>
        <v/>
      </c>
      <c r="I216" s="4" t="inlineStr">
        <is>
          <t>A</t>
        </is>
      </c>
    </row>
    <row r="217">
      <c r="A217" t="inlineStr">
        <is>
          <t>JELIA 2025</t>
        </is>
      </c>
      <c r="B217" t="inlineStr">
        <is>
          <t>https://viam.science.tsu.ge/jelia2025/</t>
        </is>
      </c>
      <c r="C217" t="inlineStr">
        <is>
          <t>Kutaisi, Georgia</t>
        </is>
      </c>
      <c r="D217" s="6" t="inlineStr">
        <is>
          <t>May 30 2025</t>
        </is>
      </c>
      <c r="E217" s="6" t="inlineStr">
        <is>
          <t>June 4 2025</t>
        </is>
      </c>
      <c r="F217" t="inlineStr">
        <is>
          <t>September 1 2025</t>
        </is>
      </c>
      <c r="G217" t="inlineStr">
        <is>
          <t>Logics in Artificial Intelligence</t>
        </is>
      </c>
      <c r="H217" s="3">
        <f>IF(ISERROR(DATEVALUE(MID(D217, FIND(" ", D217)+1, FIND(",", D217)-FIND(" ", D217)-1) &amp; "-" &amp; LEFT(D217, FIND(" ", D217)-1) &amp; "-" &amp; RIGHT(D217, 4))), "20260101", TEXT(DATEVALUE(MID(D217, FIND(" ", D217)+1, FIND(",", D217)-FIND(" ", D217)-1) &amp; "-" &amp; LEFT(D217, FIND(" ", D217)-1) &amp; "-" &amp; RIGHT(D217, 4)), "YYYYMMDD"))</f>
        <v/>
      </c>
      <c r="I217" s="4" t="inlineStr">
        <is>
          <t>A</t>
        </is>
      </c>
    </row>
    <row r="218">
      <c r="A218" t="inlineStr">
        <is>
          <t>International Conference on Knowledge Capture (K-CAP 2025)</t>
        </is>
      </c>
      <c r="B218" t="inlineStr">
        <is>
          <t>https://www.k-cap.org/2025/</t>
        </is>
      </c>
      <c r="C218" t="inlineStr">
        <is>
          <t>Dayton, Ohio USA</t>
        </is>
      </c>
      <c r="D218" s="6" t="inlineStr">
        <is>
          <t>July 21 2025</t>
        </is>
      </c>
      <c r="E218" s="6" t="inlineStr">
        <is>
          <t>July 28 2025</t>
        </is>
      </c>
      <c r="F218" t="inlineStr">
        <is>
          <t>December 10 2025</t>
        </is>
      </c>
      <c r="G218" t="inlineStr">
        <is>
          <t>Knowledge Capture; Knowledge Representation</t>
        </is>
      </c>
      <c r="H218" s="3">
        <f>IF(ISERROR(DATEVALUE(MID(D218, FIND(" ", D218)+1, FIND(",", D218)-FIND(" ", D218)-1) &amp; "-" &amp; LEFT(D218, FIND(" ", D218)-1) &amp; "-" &amp; RIGHT(D218, 4))), "20260101", TEXT(DATEVALUE(MID(D218, FIND(" ", D218)+1, FIND(",", D218)-FIND(" ", D218)-1) &amp; "-" &amp; LEFT(D218, FIND(" ", D218)-1) &amp; "-" &amp; RIGHT(D218, 4)), "YYYYMMDD"))</f>
        <v/>
      </c>
      <c r="I218" s="4" t="inlineStr">
        <is>
          <t>A</t>
        </is>
      </c>
    </row>
    <row r="219">
      <c r="A219" t="inlineStr">
        <is>
          <t>Mathematical Foundations of Computer Science (MFCS 2025)</t>
        </is>
      </c>
      <c r="B219" t="inlineStr">
        <is>
          <t>https://mfcs2025.mimuw.edu.pl/</t>
        </is>
      </c>
      <c r="C219" t="inlineStr">
        <is>
          <t>Warsaw, Poland</t>
        </is>
      </c>
      <c r="D219" s="6" t="inlineStr">
        <is>
          <t>April 18 2025</t>
        </is>
      </c>
      <c r="E219" s="6" t="inlineStr">
        <is>
          <t>April 18 2025</t>
        </is>
      </c>
      <c r="F219" t="inlineStr">
        <is>
          <t>August 25 2025</t>
        </is>
      </c>
      <c r="G219" t="inlineStr">
        <is>
          <t>Theoretical Computer Science</t>
        </is>
      </c>
      <c r="H219" s="3">
        <f>IF(ISERROR(DATEVALUE(MID(D219, FIND(" ", D219)+1, FIND(",", D219)-FIND(" ", D219)-1) &amp; "-" &amp; LEFT(D219, FIND(" ", D219)-1) &amp; "-" &amp; RIGHT(D219, 4))), "20260101", TEXT(DATEVALUE(MID(D219, FIND(" ", D219)+1, FIND(",", D219)-FIND(" ", D219)-1) &amp; "-" &amp; LEFT(D219, FIND(" ", D219)-1) &amp; "-" &amp; RIGHT(D219, 4)), "YYYYMMDD"))</f>
        <v/>
      </c>
      <c r="I219" s="4" t="inlineStr">
        <is>
          <t>A</t>
        </is>
      </c>
    </row>
    <row r="220">
      <c r="A220" t="inlineStr">
        <is>
          <t>ACM/IFIP Middleware 2025</t>
        </is>
      </c>
      <c r="B220" t="inlineStr">
        <is>
          <t>https://middleware-conf.github.io/2025/</t>
        </is>
      </c>
      <c r="C220" t="inlineStr">
        <is>
          <t>Nashville, TN USA</t>
        </is>
      </c>
      <c r="D220" s="6" t="inlineStr">
        <is>
          <t>June 6 2025</t>
        </is>
      </c>
      <c r="E220" s="6" t="inlineStr">
        <is>
          <t>June 6 2025</t>
        </is>
      </c>
      <c r="F220" t="inlineStr">
        <is>
          <t>December 15 2025</t>
        </is>
      </c>
      <c r="G220" t="inlineStr">
        <is>
          <t>Middleware; Distributed Systems</t>
        </is>
      </c>
      <c r="H220" s="3">
        <f>IF(ISERROR(DATEVALUE(MID(D220, FIND(" ", D220)+1, FIND(",", D220)-FIND(" ", D220)-1) &amp; "-" &amp; LEFT(D220, FIND(" ", D220)-1) &amp; "-" &amp; RIGHT(D220, 4))), "20260101", TEXT(DATEVALUE(MID(D220, FIND(" ", D220)+1, FIND(",", D220)-FIND(" ", D220)-1) &amp; "-" &amp; LEFT(D220, FIND(" ", D220)-1) &amp; "-" &amp; RIGHT(D220, 4)), "YYYYMMDD"))</f>
        <v/>
      </c>
      <c r="I220" s="4" t="inlineStr">
        <is>
          <t>A</t>
        </is>
      </c>
    </row>
    <row r="221">
      <c r="A221" t="inlineStr">
        <is>
          <t>ACM MobiHoc 2025</t>
        </is>
      </c>
      <c r="B221" t="inlineStr">
        <is>
          <t>https://www.sigmobile.org/mobihoc/2025/</t>
        </is>
      </c>
      <c r="C221" t="inlineStr">
        <is>
          <t>Houston, TX USA</t>
        </is>
      </c>
      <c r="D221" s="6" t="inlineStr">
        <is>
          <t>March 30 2025</t>
        </is>
      </c>
      <c r="E221" s="6" t="inlineStr">
        <is>
          <t>April 6 2025</t>
        </is>
      </c>
      <c r="F221" t="inlineStr">
        <is>
          <t>October 27 2025</t>
        </is>
      </c>
      <c r="G221" t="inlineStr">
        <is>
          <t>Mobile Ad-hoc &amp; Wireless Networks</t>
        </is>
      </c>
      <c r="H221" s="3">
        <f>IF(ISERROR(DATEVALUE(MID(D221, FIND(" ", D221)+1, FIND(",", D221)-FIND(" ", D221)-1) &amp; "-" &amp; LEFT(D221, FIND(" ", D221)-1) &amp; "-" &amp; RIGHT(D221, 4))), "20260101", TEXT(DATEVALUE(MID(D221, FIND(" ", D221)+1, FIND(",", D221)-FIND(" ", D221)-1) &amp; "-" &amp; LEFT(D221, FIND(" ", D221)-1) &amp; "-" &amp; RIGHT(D221, 4)), "YYYYMMDD"))</f>
        <v/>
      </c>
      <c r="I221" s="4" t="inlineStr">
        <is>
          <t>A</t>
        </is>
      </c>
    </row>
    <row r="222">
      <c r="A222" t="inlineStr">
        <is>
          <t>NAACL-HLT 2025</t>
        </is>
      </c>
      <c r="B222" t="inlineStr">
        <is>
          <t>https://2025.naacl.org/</t>
        </is>
      </c>
      <c r="C222" t="inlineStr">
        <is>
          <t>Albuquerque, New Mexico USA</t>
        </is>
      </c>
      <c r="D222" s="6" t="inlineStr">
        <is>
          <t>January 30 2025</t>
        </is>
      </c>
      <c r="E222" s="6" t="inlineStr">
        <is>
          <t>January 30 2025</t>
        </is>
      </c>
      <c r="F222" t="inlineStr">
        <is>
          <t>April 29 2025</t>
        </is>
      </c>
      <c r="G222" t="inlineStr">
        <is>
          <t>Natural Language Processing</t>
        </is>
      </c>
      <c r="H222" s="3">
        <f>IF(ISERROR(DATEVALUE(MID(D222, FIND(" ", D222)+1, FIND(",", D222)-FIND(" ", D222)-1) &amp; "-" &amp; LEFT(D222, FIND(" ", D222)-1) &amp; "-" &amp; RIGHT(D222, 4))), "20260101", TEXT(DATEVALUE(MID(D222, FIND(" ", D222)+1, FIND(",", D222)-FIND(" ", D222)-1) &amp; "-" &amp; LEFT(D222, FIND(" ", D222)-1) &amp; "-" &amp; RIGHT(D222, 4)), "YYYYMMDD"))</f>
        <v/>
      </c>
      <c r="I222" s="4" t="inlineStr">
        <is>
          <t>A</t>
        </is>
      </c>
    </row>
    <row r="223">
      <c r="A223" t="inlineStr">
        <is>
          <t>NDSS 2026</t>
        </is>
      </c>
      <c r="B223" t="inlineStr">
        <is>
          <t>https://www.ndss-symposium.org/ndss2026/</t>
        </is>
      </c>
      <c r="C223" t="inlineStr">
        <is>
          <t>San Diego, CA USA</t>
        </is>
      </c>
      <c r="D223" s="6" t="inlineStr">
        <is>
          <t>April 23 2025</t>
        </is>
      </c>
      <c r="E223" s="6" t="inlineStr">
        <is>
          <t>April 23 2025</t>
        </is>
      </c>
      <c r="F223" t="inlineStr">
        <is>
          <t>February 23 2026</t>
        </is>
      </c>
      <c r="G223" t="inlineStr">
        <is>
          <t>Network &amp; Distributed-System Security</t>
        </is>
      </c>
      <c r="H223" s="3">
        <f>IF(ISERROR(DATEVALUE(MID(D223, FIND(" ", D223)+1, FIND(",", D223)-FIND(" ", D223)-1) &amp; "-" &amp; LEFT(D223, FIND(" ", D223)-1) &amp; "-" &amp; RIGHT(D223, 4))), "20260101", TEXT(DATEVALUE(MID(D223, FIND(" ", D223)+1, FIND(",", D223)-FIND(" ", D223)-1) &amp; "-" &amp; LEFT(D223, FIND(" ", D223)-1) &amp; "-" &amp; RIGHT(D223, 4)), "YYYYMMDD"))</f>
        <v/>
      </c>
      <c r="I223" s="4" t="inlineStr">
        <is>
          <t>A</t>
        </is>
      </c>
    </row>
    <row r="224">
      <c r="A224" t="inlineStr">
        <is>
          <t>NOSSDAV 2025</t>
        </is>
      </c>
      <c r="B224" t="inlineStr">
        <is>
          <t>https://nossdav.org/2025/</t>
        </is>
      </c>
      <c r="C224" t="inlineStr">
        <is>
          <t>Stellenbosch, South Africa</t>
        </is>
      </c>
      <c r="D224" s="6" t="inlineStr">
        <is>
          <t>January 17 2025</t>
        </is>
      </c>
      <c r="E224" s="6" t="inlineStr">
        <is>
          <t>January 17 2025</t>
        </is>
      </c>
      <c r="F224" t="inlineStr">
        <is>
          <t>March 31 2025</t>
        </is>
      </c>
      <c r="G224" t="inlineStr">
        <is>
          <t>Multimedia Systems; Digital A/V Support</t>
        </is>
      </c>
      <c r="H224" s="3">
        <f>IF(ISERROR(DATEVALUE(MID(D224, FIND(" ", D224)+1, FIND(",", D224)-FIND(" ", D224)-1) &amp; "-" &amp; LEFT(D224, FIND(" ", D224)-1) &amp; "-" &amp; RIGHT(D224, 4))), "20260101", TEXT(DATEVALUE(MID(D224, FIND(" ", D224)+1, FIND(",", D224)-FIND(" ", D224)-1) &amp; "-" &amp; LEFT(D224, FIND(" ", D224)-1) &amp; "-" &amp; RIGHT(D224, 4)), "YYYYMMDD"))</f>
        <v/>
      </c>
      <c r="I224" s="4" t="inlineStr">
        <is>
          <t>A</t>
        </is>
      </c>
    </row>
    <row r="225">
      <c r="A225" t="inlineStr">
        <is>
          <t>OCIS (AoM Division)</t>
        </is>
      </c>
      <c r="B225" t="inlineStr">
        <is>
          <t>https://aom.org/events/annual-meetings/annual-meeting-2025</t>
        </is>
      </c>
      <c r="C225" t="inlineStr">
        <is>
          <t>Copenhagen, Denmark</t>
        </is>
      </c>
      <c r="D225" s="6" t="n">
        <v>45666</v>
      </c>
      <c r="E225" s="6" t="n">
        <v>45666</v>
      </c>
      <c r="F225" s="7" t="n">
        <v>45863</v>
      </c>
      <c r="G225" t="inlineStr">
        <is>
          <t>Information Systems (OCIS)</t>
        </is>
      </c>
      <c r="H225" s="3">
        <f>IF(ISERROR(DATEVALUE(MID(D225, FIND(" ", D225)+1, FIND(",", D225)-FIND(" ", D225)-1) &amp; "-" &amp; LEFT(D225, FIND(" ", D225)-1) &amp; "-" &amp; RIGHT(D225, 4))), "20260101", TEXT(DATEVALUE(MID(D225, FIND(" ", D225)+1, FIND(",", D225)-FIND(" ", D225)-1) &amp; "-" &amp; LEFT(D225, FIND(" ", D225)-1) &amp; "-" &amp; RIGHT(D225, 4)), "YYYYMMDD"))</f>
        <v/>
      </c>
      <c r="I225" s="4" t="inlineStr">
        <is>
          <t>A</t>
        </is>
      </c>
    </row>
    <row r="226">
      <c r="A226" t="inlineStr">
        <is>
          <t>PACIS 2025</t>
        </is>
      </c>
      <c r="B226" t="inlineStr">
        <is>
          <t>https://pacis2025.aisconferences.org/</t>
        </is>
      </c>
      <c r="C226" t="inlineStr">
        <is>
          <t>Kuala Lumpur, Malaysia</t>
        </is>
      </c>
      <c r="D226" s="6" t="n">
        <v>45717</v>
      </c>
      <c r="E226" s="6" t="n">
        <v>45717</v>
      </c>
      <c r="F226" s="7" t="n">
        <v>45845</v>
      </c>
      <c r="G226" t="inlineStr">
        <is>
          <t xml:space="preserve">Information Systems </t>
        </is>
      </c>
      <c r="H226" s="3">
        <f>IF(ISERROR(DATEVALUE(MID(D226, FIND(" ", D226)+1, FIND(",", D226)-FIND(" ", D226)-1) &amp; "-" &amp; LEFT(D226, FIND(" ", D226)-1) &amp; "-" &amp; RIGHT(D226, 4))), "20260101", TEXT(DATEVALUE(MID(D226, FIND(" ", D226)+1, FIND(",", D226)-FIND(" ", D226)-1) &amp; "-" &amp; LEFT(D226, FIND(" ", D226)-1) &amp; "-" &amp; RIGHT(D226, 4)), "YYYYMMDD"))</f>
        <v/>
      </c>
      <c r="I226" s="4" t="inlineStr">
        <is>
          <t>A</t>
        </is>
      </c>
    </row>
    <row r="227">
      <c r="A227" t="inlineStr">
        <is>
          <t>PACT 2025</t>
        </is>
      </c>
      <c r="B227" t="inlineStr">
        <is>
          <t>https://pact2025.github.io/</t>
        </is>
      </c>
      <c r="C227" t="inlineStr">
        <is>
          <t>Irvine, California, USA</t>
        </is>
      </c>
      <c r="D227" s="6" t="n">
        <v>45765</v>
      </c>
      <c r="E227" s="6" t="n">
        <v>45772</v>
      </c>
      <c r="F227" s="7" t="n">
        <v>45964</v>
      </c>
      <c r="G227" t="inlineStr">
        <is>
          <t>Parallel Architecture &amp; Compilation</t>
        </is>
      </c>
      <c r="H227" s="3">
        <f>IF(ISERROR(DATEVALUE(MID(D227, FIND(" ", D227)+1, FIND(",", D227)-FIND(" ", D227)-1) &amp; "-" &amp; LEFT(D227, FIND(" ", D227)-1) &amp; "-" &amp; RIGHT(D227, 4))), "20260101", TEXT(DATEVALUE(MID(D227, FIND(" ", D227)+1, FIND(",", D227)-FIND(" ", D227)-1) &amp; "-" &amp; LEFT(D227, FIND(" ", D227)-1) &amp; "-" &amp; RIGHT(D227, 4)), "YYYYMMDD"))</f>
        <v/>
      </c>
      <c r="I227" s="4" t="inlineStr">
        <is>
          <t>A</t>
        </is>
      </c>
    </row>
    <row r="228">
      <c r="A228" t="inlineStr">
        <is>
          <t>PAKDD 2025</t>
        </is>
      </c>
      <c r="B228" t="inlineStr">
        <is>
          <t>https://pakdd2025.org/</t>
        </is>
      </c>
      <c r="C228" t="inlineStr">
        <is>
          <t>Sydney, Australia</t>
        </is>
      </c>
      <c r="D228" s="6" t="n">
        <v>45627</v>
      </c>
      <c r="E228" s="6" t="n">
        <v>45640</v>
      </c>
      <c r="F228" s="7" t="n">
        <v>45818</v>
      </c>
      <c r="G228" t="inlineStr">
        <is>
          <t xml:space="preserve">Data Mining &amp; KDD </t>
        </is>
      </c>
      <c r="H228" s="3">
        <f>IF(ISERROR(DATEVALUE(MID(D228, FIND(" ", D228)+1, FIND(",", D228)-FIND(" ", D228)-1) &amp; "-" &amp; LEFT(D228, FIND(" ", D228)-1) &amp; "-" &amp; RIGHT(D228, 4))), "20260101", TEXT(DATEVALUE(MID(D228, FIND(" ", D228)+1, FIND(",", D228)-FIND(" ", D228)-1) &amp; "-" &amp; LEFT(D228, FIND(" ", D228)-1) &amp; "-" &amp; RIGHT(D228, 4)), "YYYYMMDD"))</f>
        <v/>
      </c>
      <c r="I228" s="4" t="inlineStr">
        <is>
          <t>A</t>
        </is>
      </c>
    </row>
    <row r="229">
      <c r="A229" t="inlineStr">
        <is>
          <t>Pacific Graphics (PG) 2025</t>
        </is>
      </c>
      <c r="B229" t="inlineStr">
        <is>
          <t>https://www.eg.org/wp/event/pacific-graphics-2025/</t>
        </is>
      </c>
      <c r="C229" t="inlineStr">
        <is>
          <t>Hong Kong, China</t>
        </is>
      </c>
      <c r="D229" s="6" t="n">
        <v>45807</v>
      </c>
      <c r="E229" s="6" t="n">
        <v>45814</v>
      </c>
      <c r="F229" s="7" t="n">
        <v>45944</v>
      </c>
      <c r="G229" t="inlineStr">
        <is>
          <t>Computer Graphics</t>
        </is>
      </c>
      <c r="H229" s="3">
        <f>IF(ISERROR(DATEVALUE(MID(D229, FIND(" ", D229)+1, FIND(",", D229)-FIND(" ", D229)-1) &amp; "-" &amp; LEFT(D229, FIND(" ", D229)-1) &amp; "-" &amp; RIGHT(D229, 4))), "20260101", TEXT(DATEVALUE(MID(D229, FIND(" ", D229)+1, FIND(",", D229)-FIND(" ", D229)-1) &amp; "-" &amp; LEFT(D229, FIND(" ", D229)-1) &amp; "-" &amp; RIGHT(D229, 4)), "YYYYMMDD"))</f>
        <v/>
      </c>
      <c r="I229" s="4" t="inlineStr">
        <is>
          <t>A</t>
        </is>
      </c>
    </row>
    <row r="230">
      <c r="A230" t="inlineStr">
        <is>
          <t>PPoPP 2025</t>
        </is>
      </c>
      <c r="B230" t="inlineStr">
        <is>
          <t>https://conf.researchr.org/home/ppopp-2025</t>
        </is>
      </c>
      <c r="C230" t="inlineStr">
        <is>
          <t>Prague, Czech Republic</t>
        </is>
      </c>
      <c r="D230" s="6" t="n">
        <v>45520</v>
      </c>
      <c r="E230" s="6" t="n">
        <v>45520</v>
      </c>
      <c r="F230" s="7" t="n">
        <v>45717</v>
      </c>
      <c r="G230" t="inlineStr">
        <is>
          <t xml:space="preserve">Parallel Programming </t>
        </is>
      </c>
      <c r="H230" s="3">
        <f>IF(ISERROR(DATEVALUE(MID(D230, FIND(" ", D230)+1, FIND(",", D230)-FIND(" ", D230)-1) &amp; "-" &amp; LEFT(D230, FIND(" ", D230)-1) &amp; "-" &amp; RIGHT(D230, 4))), "20260101", TEXT(DATEVALUE(MID(D230, FIND(" ", D230)+1, FIND(",", D230)-FIND(" ", D230)-1) &amp; "-" &amp; LEFT(D230, FIND(" ", D230)-1) &amp; "-" &amp; RIGHT(D230, 4)), "YYYYMMDD"))</f>
        <v/>
      </c>
      <c r="I230" s="4" t="inlineStr">
        <is>
          <t>A</t>
        </is>
      </c>
    </row>
    <row r="231">
      <c r="A231" t="inlineStr">
        <is>
          <t>APPROX/RANDOM – RANDOM 2025</t>
        </is>
      </c>
      <c r="B231" t="inlineStr">
        <is>
          <t>https://randomconference.com/</t>
        </is>
      </c>
      <c r="C231" t="inlineStr">
        <is>
          <t>Berkeley, California, USA</t>
        </is>
      </c>
      <c r="D231" s="6" t="n">
        <v>45785</v>
      </c>
      <c r="E231" s="6" t="n">
        <v>45785</v>
      </c>
      <c r="F231" s="7" t="n">
        <v>45880</v>
      </c>
      <c r="G231" t="inlineStr">
        <is>
          <t xml:space="preserve">Randomized Algorithms </t>
        </is>
      </c>
      <c r="H231" s="3">
        <f>IF(ISERROR(DATEVALUE(MID(D231, FIND(" ", D231)+1, FIND(",", D231)-FIND(" ", D231)-1) &amp; "-" &amp; LEFT(D231, FIND(" ", D231)-1) &amp; "-" &amp; RIGHT(D231, 4))), "20260101", TEXT(DATEVALUE(MID(D231, FIND(" ", D231)+1, FIND(",", D231)-FIND(" ", D231)-1) &amp; "-" &amp; LEFT(D231, FIND(" ", D231)-1) &amp; "-" &amp; RIGHT(D231, 4)), "YYYYMMDD"))</f>
        <v/>
      </c>
      <c r="I231" s="4" t="inlineStr">
        <is>
          <t>A</t>
        </is>
      </c>
    </row>
    <row r="232">
      <c r="A232" t="inlineStr">
        <is>
          <t>IEEE RE 2025</t>
        </is>
      </c>
      <c r="B232" t="inlineStr">
        <is>
          <t>https://conf.researchr.org/home/re-2025</t>
        </is>
      </c>
      <c r="C232" t="inlineStr">
        <is>
          <t>Valencia, Spain</t>
        </is>
      </c>
      <c r="D232" s="6" t="n">
        <v>45754</v>
      </c>
      <c r="E232" s="6" t="n">
        <v>45754</v>
      </c>
      <c r="F232" s="7" t="n">
        <v>45901</v>
      </c>
      <c r="G232" t="inlineStr">
        <is>
          <t xml:space="preserve">Requirements Engineering </t>
        </is>
      </c>
      <c r="H232" s="3">
        <f>IF(ISERROR(DATEVALUE(MID(D232, FIND(" ", D232)+1, FIND(",", D232)-FIND(" ", D232)-1) &amp; "-" &amp; LEFT(D232, FIND(" ", D232)-1) &amp; "-" &amp; RIGHT(D232, 4))), "20260101", TEXT(DATEVALUE(MID(D232, FIND(" ", D232)+1, FIND(",", D232)-FIND(" ", D232)-1) &amp; "-" &amp; LEFT(D232, FIND(" ", D232)-1) &amp; "-" &amp; RIGHT(D232, 4)), "YYYYMMDD"))</f>
        <v/>
      </c>
      <c r="I232" s="4" t="inlineStr">
        <is>
          <t>A</t>
        </is>
      </c>
    </row>
    <row r="233">
      <c r="A233" t="inlineStr">
        <is>
          <t>AEiC (RST) 2025</t>
        </is>
      </c>
      <c r="B233" t="inlineStr">
        <is>
          <t>https://www.ada-europe.org/conference2025/</t>
        </is>
      </c>
      <c r="C233" t="inlineStr">
        <is>
          <t>Paris, France</t>
        </is>
      </c>
      <c r="D233" s="6" t="n">
        <v>45695</v>
      </c>
      <c r="E233" s="6" t="n">
        <v>45695</v>
      </c>
      <c r="F233" s="7" t="n">
        <v>45818</v>
      </c>
      <c r="G233" t="inlineStr">
        <is>
          <t>Reliable Software Technologies}</t>
        </is>
      </c>
      <c r="H233" s="3">
        <f>IF(ISERROR(DATEVALUE(MID(D233, FIND(" ", D233)+1, FIND(",", D233)-FIND(" ", D233)-1) &amp; "-" &amp; LEFT(D233, FIND(" ", D233)-1) &amp; "-" &amp; RIGHT(D233, 4))), "20260101", TEXT(DATEVALUE(MID(D233, FIND(" ", D233)+1, FIND(",", D233)-FIND(" ", D233)-1) &amp; "-" &amp; LEFT(D233, FIND(" ", D233)-1) &amp; "-" &amp; RIGHT(D233, 4)), "YYYYMMDD"))</f>
        <v/>
      </c>
      <c r="I233" s="4" t="inlineStr">
        <is>
          <t>A</t>
        </is>
      </c>
    </row>
    <row r="234">
      <c r="A234" t="inlineStr">
        <is>
          <t>IEEE S&amp;P (“StiP”) 2025</t>
        </is>
      </c>
      <c r="B234" t="inlineStr">
        <is>
          <t>https://sp2025.ieee-security.org/</t>
        </is>
      </c>
      <c r="C234" t="inlineStr">
        <is>
          <t>San Francisco, California, USA</t>
        </is>
      </c>
      <c r="D234" s="6" t="n">
        <v>45610</v>
      </c>
      <c r="E234" s="6" t="n">
        <v>45610</v>
      </c>
      <c r="F234" s="7" t="n">
        <v>45789</v>
      </c>
      <c r="G234" t="inlineStr">
        <is>
          <t xml:space="preserve">Computer Security </t>
        </is>
      </c>
      <c r="H234" s="3">
        <f>IF(ISERROR(DATEVALUE(MID(D234, FIND(" ", D234)+1, FIND(",", D234)-FIND(" ", D234)-1) &amp; "-" &amp; LEFT(D234, FIND(" ", D234)-1) &amp; "-" &amp; RIGHT(D234, 4))), "20260101", TEXT(DATEVALUE(MID(D234, FIND(" ", D234)+1, FIND(",", D234)-FIND(" ", D234)-1) &amp; "-" &amp; LEFT(D234, FIND(" ", D234)-1) &amp; "-" &amp; RIGHT(D234, 4)), "YYYYMMDD"))</f>
        <v/>
      </c>
      <c r="I234" s="4" t="inlineStr">
        <is>
          <t>A</t>
        </is>
      </c>
    </row>
    <row r="235">
      <c r="A235" t="inlineStr">
        <is>
          <t>SAT 2025 – Int’l Conf. on Theory &amp; Applications of Satisfiability Testing</t>
        </is>
      </c>
      <c r="B235" t="inlineStr">
        <is>
          <t>https://satisfiability.org/SAT25/</t>
        </is>
      </c>
      <c r="C235" t="inlineStr">
        <is>
          <t>Glasgow, Scotland, UK</t>
        </is>
      </c>
      <c r="D235" s="6" t="n">
        <v>45740</v>
      </c>
      <c r="E235" s="6" t="n">
        <v>45750</v>
      </c>
      <c r="F235" s="7" t="n">
        <v>45881</v>
      </c>
      <c r="G235" t="inlineStr">
        <is>
          <t>Satisfiability Testing; Formal Methods</t>
        </is>
      </c>
      <c r="H235" s="3">
        <f>IF(ISERROR(DATEVALUE(MID(D235, FIND(" ", D235)+1, FIND(",", D235)-FIND(" ", D235)-1) &amp; "-" &amp; LEFT(D235, FIND(" ", D235)-1) &amp; "-" &amp; RIGHT(D235, 4))), "20260101", TEXT(DATEVALUE(MID(D235, FIND(" ", D235)+1, FIND(",", D235)-FIND(" ", D235)-1) &amp; "-" &amp; LEFT(D235, FIND(" ", D235)-1) &amp; "-" &amp; RIGHT(D235, 4)), "YYYYMMDD"))</f>
        <v/>
      </c>
      <c r="I235" s="4" t="inlineStr">
        <is>
          <t>A</t>
        </is>
      </c>
    </row>
    <row r="236">
      <c r="A236" t="inlineStr">
        <is>
          <t>SC25 – Int’l Conf. for High-Performance Computing, Networking, Storage &amp; Analysis</t>
        </is>
      </c>
      <c r="B236" t="inlineStr">
        <is>
          <t>https://sc25.supercomputing.org/</t>
        </is>
      </c>
      <c r="C236" t="inlineStr">
        <is>
          <t>St Louis, Missouri, USA</t>
        </is>
      </c>
      <c r="D236" s="6" t="n">
        <v>45754</v>
      </c>
      <c r="E236" s="6" t="n">
        <v>45761</v>
      </c>
      <c r="F236" s="7" t="n">
        <v>45977</v>
      </c>
      <c r="G236" t="inlineStr">
        <is>
          <t>High-Performance Computing</t>
        </is>
      </c>
      <c r="H236" s="3">
        <f>IF(ISERROR(DATEVALUE(MID(D236, FIND(" ", D236)+1, FIND(",", D236)-FIND(" ", D236)-1) &amp; "-" &amp; LEFT(D236, FIND(" ", D236)-1) &amp; "-" &amp; RIGHT(D236, 4))), "20260101", TEXT(DATEVALUE(MID(D236, FIND(" ", D236)+1, FIND(",", D236)-FIND(" ", D236)-1) &amp; "-" &amp; LEFT(D236, FIND(" ", D236)-1) &amp; "-" &amp; RIGHT(D236, 4)), "YYYYMMDD"))</f>
        <v/>
      </c>
      <c r="I236" s="4" t="inlineStr">
        <is>
          <t>A</t>
        </is>
      </c>
    </row>
    <row r="237">
      <c r="A237" t="inlineStr">
        <is>
          <t>IEEE SCC 2025 (Services Computing) – part of IEEE SERVICES</t>
        </is>
      </c>
      <c r="B237" t="inlineStr">
        <is>
          <t>https://services.conferences.computer.org/2025/</t>
        </is>
      </c>
      <c r="C237" t="inlineStr">
        <is>
          <t>Shanghai, China</t>
        </is>
      </c>
      <c r="D237" s="6" t="n">
        <v>45719</v>
      </c>
      <c r="E237" s="6" t="n">
        <v>45726</v>
      </c>
      <c r="F237" s="7" t="n">
        <v>45845</v>
      </c>
      <c r="G237" t="inlineStr">
        <is>
          <t>Service Computing; Cloud Services</t>
        </is>
      </c>
      <c r="H237" s="3">
        <f>IF(ISERROR(DATEVALUE(MID(D237, FIND(" ", D237)+1, FIND(",", D237)-FIND(" ", D237)-1) &amp; "-" &amp; LEFT(D237, FIND(" ", D237)-1) &amp; "-" &amp; RIGHT(D237, 4))), "20260101", TEXT(DATEVALUE(MID(D237, FIND(" ", D237)+1, FIND(",", D237)-FIND(" ", D237)-1) &amp; "-" &amp; LEFT(D237, FIND(" ", D237)-1) &amp; "-" &amp; RIGHT(D237, 4)), "YYYYMMDD"))</f>
        <v/>
      </c>
      <c r="I237" s="4" t="inlineStr">
        <is>
          <t>A</t>
        </is>
      </c>
    </row>
    <row r="238">
      <c r="A238" t="inlineStr">
        <is>
          <t>SoCG 2025 – Symp. on Computational Geometry</t>
        </is>
      </c>
      <c r="B238" t="inlineStr">
        <is>
          <t>https://socg25.github.io/socg.html</t>
        </is>
      </c>
      <c r="C238" t="inlineStr">
        <is>
          <t>Kanazawa, Japan</t>
        </is>
      </c>
      <c r="D238" s="6" t="n">
        <v>45622</v>
      </c>
      <c r="E238" s="6" t="n">
        <v>45629</v>
      </c>
      <c r="F238" s="7" t="n">
        <v>45831</v>
      </c>
      <c r="G238" t="inlineStr">
        <is>
          <t>Computational Geometry</t>
        </is>
      </c>
      <c r="H238" s="3">
        <f>IF(ISERROR(DATEVALUE(MID(D238, FIND(" ", D238)+1, FIND(",", D238)-FIND(" ", D238)-1) &amp; "-" &amp; LEFT(D238, FIND(" ", D238)-1) &amp; "-" &amp; RIGHT(D238, 4))), "20260101", TEXT(DATEVALUE(MID(D238, FIND(" ", D238)+1, FIND(",", D238)-FIND(" ", D238)-1) &amp; "-" &amp; LEFT(D238, FIND(" ", D238)-1) &amp; "-" &amp; RIGHT(D238, 4)), "YYYYMMDD"))</f>
        <v/>
      </c>
      <c r="I238" s="4" t="inlineStr">
        <is>
          <t>A</t>
        </is>
      </c>
    </row>
    <row r="239">
      <c r="A239" t="inlineStr">
        <is>
          <t>SIAM SDM 2025 – SIAM Int’l Conf. on Data Mining</t>
        </is>
      </c>
      <c r="B239" t="inlineStr">
        <is>
          <t>https://www.siam.org/conferences-events/siam-conferences/sdm25/submissions/</t>
        </is>
      </c>
      <c r="C239" t="inlineStr">
        <is>
          <t>Alexandria, Virginia, USA</t>
        </is>
      </c>
      <c r="D239" s="6" t="n">
        <v>45562</v>
      </c>
      <c r="E239" s="6" t="n">
        <v>45569</v>
      </c>
      <c r="F239" s="7" t="n">
        <v>45778</v>
      </c>
      <c r="G239" t="inlineStr">
        <is>
          <t>Data Mining; Machine Learning</t>
        </is>
      </c>
      <c r="H239" s="3">
        <f>IF(ISERROR(DATEVALUE(MID(D239, FIND(" ", D239)+1, FIND(",", D239)-FIND(" ", D239)-1) &amp; "-" &amp; LEFT(D239, FIND(" ", D239)-1) &amp; "-" &amp; RIGHT(D239, 4))), "20260101", TEXT(DATEVALUE(MID(D239, FIND(" ", D239)+1, FIND(",", D239)-FIND(" ", D239)-1) &amp; "-" &amp; LEFT(D239, FIND(" ", D239)-1) &amp; "-" &amp; RIGHT(D239, 4)), "YYYYMMDD"))</f>
        <v/>
      </c>
      <c r="I239" s="4" t="inlineStr">
        <is>
          <t>A</t>
        </is>
      </c>
    </row>
    <row r="240">
      <c r="A240" t="inlineStr">
        <is>
          <t>ACM SIGCOMM 2025</t>
        </is>
      </c>
      <c r="B240" t="inlineStr">
        <is>
          <t>https://conferences.sigcomm.org/sigcomm/2025/</t>
        </is>
      </c>
      <c r="C240" t="inlineStr">
        <is>
          <t>Coimbra, Portugal</t>
        </is>
      </c>
      <c r="D240" s="6" t="n">
        <v>45681</v>
      </c>
      <c r="E240" s="6" t="n">
        <v>45688</v>
      </c>
      <c r="F240" s="7" t="n">
        <v>45908</v>
      </c>
      <c r="G240" t="inlineStr">
        <is>
          <t>Computer Networking</t>
        </is>
      </c>
      <c r="H240" s="3">
        <f>IF(ISERROR(DATEVALUE(MID(D240, FIND(" ", D240)+1, FIND(",", D240)-FIND(" ", D240)-1) &amp; "-" &amp; LEFT(D240, FIND(" ", D240)-1) &amp; "-" &amp; RIGHT(D240, 4))), "20260101", TEXT(DATEVALUE(MID(D240, FIND(" ", D240)+1, FIND(",", D240)-FIND(" ", D240)-1) &amp; "-" &amp; LEFT(D240, FIND(" ", D240)-1) &amp; "-" &amp; RIGHT(D240, 4)), "YYYYMMDD"))</f>
        <v/>
      </c>
      <c r="I240" s="4" t="inlineStr">
        <is>
          <t>A</t>
        </is>
      </c>
    </row>
    <row r="241">
      <c r="A241" t="inlineStr">
        <is>
          <t>ACM SIGCSE Technical Symp. 2025</t>
        </is>
      </c>
      <c r="B241" t="inlineStr">
        <is>
          <t>https://sigcse2025.sigcse.org/</t>
        </is>
      </c>
      <c r="C241" t="inlineStr">
        <is>
          <t>Pittsburgh, Pennsylvania, USA</t>
        </is>
      </c>
      <c r="D241" s="6" t="n">
        <v>45487</v>
      </c>
      <c r="E241" s="6" t="n">
        <v>45494</v>
      </c>
      <c r="F241" s="7" t="n">
        <v>45714</v>
      </c>
      <c r="G241" t="inlineStr">
        <is>
          <t>Computer Science Education</t>
        </is>
      </c>
      <c r="H241" s="3">
        <f>IF(ISERROR(DATEVALUE(MID(D241, FIND(" ", D241)+1, FIND(",", D241)-FIND(" ", D241)-1) &amp; "-" &amp; LEFT(D241, FIND(" ", D241)-1) &amp; "-" &amp; RIGHT(D241, 4))), "20260101", TEXT(DATEVALUE(MID(D241, FIND(" ", D241)+1, FIND(",", D241)-FIND(" ", D241)-1) &amp; "-" &amp; LEFT(D241, FIND(" ", D241)-1) &amp; "-" &amp; RIGHT(D241, 4)), "YYYYMMDD"))</f>
        <v/>
      </c>
      <c r="I241" s="4" t="inlineStr">
        <is>
          <t>A</t>
        </is>
      </c>
    </row>
    <row r="242">
      <c r="A242" t="inlineStr">
        <is>
          <t>ACM SPAA 2025 – Parallelism in Algorithms &amp; Architectures</t>
        </is>
      </c>
      <c r="B242" t="inlineStr">
        <is>
          <t>https://spaa.acm.org/2025/</t>
        </is>
      </c>
      <c r="C242" t="inlineStr">
        <is>
          <t>Portland, Oregon, USA</t>
        </is>
      </c>
      <c r="D242" s="6" t="n">
        <v>45699</v>
      </c>
      <c r="E242" s="6" t="n">
        <v>45706</v>
      </c>
      <c r="F242" s="7" t="n">
        <v>45866</v>
      </c>
      <c r="G242" t="inlineStr">
        <is>
          <t>Parallel Algorithms; Distributed Architectures</t>
        </is>
      </c>
      <c r="H242" s="3">
        <f>IF(ISERROR(DATEVALUE(MID(D242, FIND(" ", D242)+1, FIND(",", D242)-FIND(" ", D242)-1) &amp; "-" &amp; LEFT(D242, FIND(" ", D242)-1) &amp; "-" &amp; RIGHT(D242, 4))), "20260101", TEXT(DATEVALUE(MID(D242, FIND(" ", D242)+1, FIND(",", D242)-FIND(" ", D242)-1) &amp; "-" &amp; LEFT(D242, FIND(" ", D242)-1) &amp; "-" &amp; RIGHT(D242, 4)), "YYYYMMDD"))</f>
        <v/>
      </c>
      <c r="I242" s="4" t="inlineStr">
        <is>
          <t>A</t>
        </is>
      </c>
    </row>
    <row r="243">
      <c r="A243" t="inlineStr">
        <is>
          <t>IEEE SRDS 2025 – Symp. on Reliable Distributed Systems</t>
        </is>
      </c>
      <c r="B243" t="inlineStr">
        <is>
          <t>https://srds-conference.org/</t>
        </is>
      </c>
      <c r="C243" t="inlineStr">
        <is>
          <t>Porto, Portugal</t>
        </is>
      </c>
      <c r="D243" s="6" t="n">
        <v>45772</v>
      </c>
      <c r="E243" s="6" t="n">
        <v>45779</v>
      </c>
      <c r="F243" s="7" t="n">
        <v>45929</v>
      </c>
      <c r="G243" t="inlineStr">
        <is>
          <t>Reliable Distributed Systems</t>
        </is>
      </c>
      <c r="H243" s="3">
        <f>IF(ISERROR(DATEVALUE(MID(D243, FIND(" ", D243)+1, FIND(",", D243)-FIND(" ", D243)-1) &amp; "-" &amp; LEFT(D243, FIND(" ", D243)-1) &amp; "-" &amp; RIGHT(D243, 4))), "20260101", TEXT(DATEVALUE(MID(D243, FIND(" ", D243)+1, FIND(",", D243)-FIND(" ", D243)-1) &amp; "-" &amp; LEFT(D243, FIND(" ", D243)-1) &amp; "-" &amp; RIGHT(D243, 4)), "YYYYMMDD"))</f>
        <v/>
      </c>
      <c r="I243" s="4" t="inlineStr">
        <is>
          <t>A</t>
        </is>
      </c>
    </row>
    <row r="244">
      <c r="A244" t="inlineStr">
        <is>
          <t>SSDBM 2025 – Int’l Conf. on Scalable Scientific Data Management</t>
        </is>
      </c>
      <c r="B244" t="inlineStr">
        <is>
          <t>https://ssdbm.org/2025</t>
        </is>
      </c>
      <c r="C244" t="inlineStr">
        <is>
          <t>Columbus, Ohio USA</t>
        </is>
      </c>
      <c r="D244" s="6" t="n">
        <v>45711</v>
      </c>
      <c r="E244" s="6" t="n">
        <v>45718</v>
      </c>
      <c r="F244" s="7" t="n">
        <v>45831</v>
      </c>
      <c r="G244" t="inlineStr">
        <is>
          <t>Scientific &amp; Statistical Databases</t>
        </is>
      </c>
      <c r="H244" s="3">
        <f>IF(ISERROR(DATEVALUE(MID(D244, FIND(" ", D244)+1, FIND(",", D244)-FIND(" ", D244)-1) &amp; "-" &amp; LEFT(D244, FIND(" ", D244)-1) &amp; "-" &amp; RIGHT(D244, 4))), "20260101", TEXT(DATEVALUE(MID(D244, FIND(" ", D244)+1, FIND(",", D244)-FIND(" ", D244)-1) &amp; "-" &amp; LEFT(D244, FIND(" ", D244)-1) &amp; "-" &amp; RIGHT(D244, 4)), "YYYYMMDD"))</f>
        <v/>
      </c>
      <c r="I244" s="4" t="inlineStr">
        <is>
          <t>A</t>
        </is>
      </c>
    </row>
    <row r="245">
      <c r="A245" t="inlineStr">
        <is>
          <t>S+SSPR 2026 – IAPR Structural &amp; Statistical Pattern Recognition</t>
        </is>
      </c>
      <c r="B245" t="inlineStr">
        <is>
          <t>https://ssspr2026.inf.unibe.ch/</t>
        </is>
      </c>
      <c r="C245" t="inlineStr">
        <is>
          <t>Bern, Switzerland</t>
        </is>
      </c>
      <c r="D245" s="6" t="n">
        <v>46157</v>
      </c>
      <c r="E245" s="6" t="n">
        <v>46157</v>
      </c>
      <c r="F245" s="7" t="n">
        <v>46258</v>
      </c>
      <c r="G245" t="inlineStr">
        <is>
          <t>Pattern Recognition</t>
        </is>
      </c>
      <c r="H245" s="3">
        <f>IF(ISERROR(DATEVALUE(MID(D245, FIND(" ", D245)+1, FIND(",", D245)-FIND(" ", D245)-1) &amp; "-" &amp; LEFT(D245, FIND(" ", D245)-1) &amp; "-" &amp; RIGHT(D245, 4))), "20260101", TEXT(DATEVALUE(MID(D245, FIND(" ", D245)+1, FIND(",", D245)-FIND(" ", D245)-1) &amp; "-" &amp; LEFT(D245, FIND(" ", D245)-1) &amp; "-" &amp; RIGHT(D245, 4)), "YYYYMMDD"))</f>
        <v/>
      </c>
      <c r="I245" s="4" t="inlineStr">
        <is>
          <t>A</t>
        </is>
      </c>
    </row>
    <row r="246">
      <c r="A246" t="inlineStr">
        <is>
          <t>TABLEAUX 2025 – Analytic Tableaux &amp; Related Methods</t>
        </is>
      </c>
      <c r="B246" t="inlineStr">
        <is>
          <t>https://icetcs.github.io</t>
        </is>
      </c>
      <c r="C246" t="inlineStr">
        <is>
          <t>Reykjavík, Iceland</t>
        </is>
      </c>
      <c r="D246" s="6" t="n">
        <v>45786</v>
      </c>
      <c r="E246" s="6" t="n">
        <v>45791</v>
      </c>
      <c r="F246" s="7" t="n">
        <v>45930</v>
      </c>
      <c r="G246" t="inlineStr">
        <is>
          <t>Automated Reasoning, Logic</t>
        </is>
      </c>
      <c r="H246" s="3">
        <f>IF(ISERROR(DATEVALUE(MID(D246, FIND(" ", D246)+1, FIND(",", D246)-FIND(" ", D246)-1) &amp; "-" &amp; LEFT(D246, FIND(" ", D246)-1) &amp; "-" &amp; RIGHT(D246, 4))), "20260101", TEXT(DATEVALUE(MID(D246, FIND(" ", D246)+1, FIND(",", D246)-FIND(" ", D246)-1) &amp; "-" &amp; LEFT(D246, FIND(" ", D246)-1) &amp; "-" &amp; RIGHT(D246, 4)), "YYYYMMDD"))</f>
        <v/>
      </c>
      <c r="I246" s="4" t="inlineStr">
        <is>
          <t>A</t>
        </is>
      </c>
    </row>
    <row r="247">
      <c r="A247" t="inlineStr">
        <is>
          <t>TACAS 2025 – Tools &amp; Algorithms for the Construction &amp; Analysis of Systems</t>
        </is>
      </c>
      <c r="B247" t="inlineStr">
        <is>
          <t>https://etaps.org/2025/conferences/tacas/</t>
        </is>
      </c>
      <c r="C247" t="inlineStr">
        <is>
          <t>Hamilton, Canada</t>
        </is>
      </c>
      <c r="D247" s="6" t="n">
        <v>45575</v>
      </c>
      <c r="E247" s="6" t="n">
        <v>45575</v>
      </c>
      <c r="F247" s="7" t="n">
        <v>45780</v>
      </c>
      <c r="G247" t="inlineStr">
        <is>
          <t>Formal Methods, Verification</t>
        </is>
      </c>
      <c r="H247" s="3">
        <f>IF(ISERROR(DATEVALUE(MID(D247, FIND(" ", D247)+1, FIND(",", D247)-FIND(" ", D247)-1) &amp; "-" &amp; LEFT(D247, FIND(" ", D247)-1) &amp; "-" &amp; RIGHT(D247, 4))), "20260101", TEXT(DATEVALUE(MID(D247, FIND(" ", D247)+1, FIND(",", D247)-FIND(" ", D247)-1) &amp; "-" &amp; LEFT(D247, FIND(" ", D247)-1) &amp; "-" &amp; RIGHT(D247, 4)), "YYYYMMDD"))</f>
        <v/>
      </c>
      <c r="I247" s="4" t="inlineStr">
        <is>
          <t>A</t>
        </is>
      </c>
    </row>
    <row r="248">
      <c r="A248" t="inlineStr">
        <is>
          <t>TARK 2025 – Theoretical Aspects of Rationality &amp; Knowledge</t>
        </is>
      </c>
      <c r="B248" t="inlineStr">
        <is>
          <t>https://www.tark.org/</t>
        </is>
      </c>
      <c r="C248" t="inlineStr">
        <is>
          <t>Düsseldorf, Germany</t>
        </is>
      </c>
      <c r="D248" s="6" t="n">
        <v>45740</v>
      </c>
      <c r="E248" s="6" t="n">
        <v>45744</v>
      </c>
      <c r="F248" s="7" t="n">
        <v>45852</v>
      </c>
      <c r="G248" t="inlineStr">
        <is>
          <t>Knowledge Representation, Game Theory</t>
        </is>
      </c>
      <c r="H248" s="3">
        <f>IF(ISERROR(DATEVALUE(MID(D248, FIND(" ", D248)+1, FIND(",", D248)-FIND(" ", D248)-1) &amp; "-" &amp; LEFT(D248, FIND(" ", D248)-1) &amp; "-" &amp; RIGHT(D248, 4))), "20260101", TEXT(DATEVALUE(MID(D248, FIND(" ", D248)+1, FIND(",", D248)-FIND(" ", D248)-1) &amp; "-" &amp; LEFT(D248, FIND(" ", D248)-1) &amp; "-" &amp; RIGHT(D248, 4)), "YYYYMMDD"))</f>
        <v/>
      </c>
      <c r="I248" s="4" t="inlineStr">
        <is>
          <t>A</t>
        </is>
      </c>
    </row>
    <row r="249">
      <c r="A249" t="inlineStr">
        <is>
          <t>TCC 2025 – Theory of Cryptography Conference</t>
        </is>
      </c>
      <c r="B249" t="inlineStr">
        <is>
          <t>https://tcc.iacr.org/2025</t>
        </is>
      </c>
      <c r="C249" t="inlineStr">
        <is>
          <t>Bucharest, Romania</t>
        </is>
      </c>
      <c r="D249" s="6" t="n">
        <v>45804</v>
      </c>
      <c r="E249" s="6" t="n">
        <v>45804</v>
      </c>
      <c r="F249" s="7" t="n">
        <v>45972</v>
      </c>
      <c r="G249" t="inlineStr">
        <is>
          <t>Theoretical Cryptography</t>
        </is>
      </c>
      <c r="H249" s="3">
        <f>IF(ISERROR(DATEVALUE(MID(D249, FIND(" ", D249)+1, FIND(",", D249)-FIND(" ", D249)-1) &amp; "-" &amp; LEFT(D249, FIND(" ", D249)-1) &amp; "-" &amp; RIGHT(D249, 4))), "20260101", TEXT(DATEVALUE(MID(D249, FIND(" ", D249)+1, FIND(",", D249)-FIND(" ", D249)-1) &amp; "-" &amp; LEFT(D249, FIND(" ", D249)-1) &amp; "-" &amp; RIGHT(D249, 4)), "YYYYMMDD"))</f>
        <v/>
      </c>
      <c r="I249" s="4" t="inlineStr">
        <is>
          <t>A</t>
        </is>
      </c>
    </row>
    <row r="250">
      <c r="A250" t="inlineStr">
        <is>
          <t>TEI 2025 – Tangible, Embedded &amp; Embodied Interaction</t>
        </is>
      </c>
      <c r="B250" t="inlineStr">
        <is>
          <t>https://tei.acm.org/2025</t>
        </is>
      </c>
      <c r="C250" t="inlineStr">
        <is>
          <t>Bordeaux, France</t>
        </is>
      </c>
      <c r="D250" s="6" t="n">
        <v>45498</v>
      </c>
      <c r="E250" s="6" t="n">
        <v>45505</v>
      </c>
      <c r="F250" s="7" t="n">
        <v>45720</v>
      </c>
      <c r="G250" t="inlineStr">
        <is>
          <t>Tangible Interaction, HCI</t>
        </is>
      </c>
      <c r="H250" s="3">
        <f>IF(ISERROR(DATEVALUE(MID(D250, FIND(" ", D250)+1, FIND(",", D250)-FIND(" ", D250)-1) &amp; "-" &amp; LEFT(D250, FIND(" ", D250)-1) &amp; "-" &amp; RIGHT(D250, 4))), "20260101", TEXT(DATEVALUE(MID(D250, FIND(" ", D250)+1, FIND(",", D250)-FIND(" ", D250)-1) &amp; "-" &amp; LEFT(D250, FIND(" ", D250)-1) &amp; "-" &amp; RIGHT(D250, 4)), "YYYYMMDD"))</f>
        <v/>
      </c>
      <c r="I250" s="4" t="inlineStr">
        <is>
          <t>A</t>
        </is>
      </c>
    </row>
    <row r="251">
      <c r="A251" t="inlineStr">
        <is>
          <t>TIME 2025 – Temporal Representation &amp; Reasoning</t>
        </is>
      </c>
      <c r="B251" t="inlineStr">
        <is>
          <t>https://time2025conf.github.io/</t>
        </is>
      </c>
      <c r="C251" t="inlineStr">
        <is>
          <t>London, UK</t>
        </is>
      </c>
      <c r="D251" s="6" t="n">
        <v>45833</v>
      </c>
      <c r="E251" s="6" t="n">
        <v>45870</v>
      </c>
      <c r="F251" s="7" t="n">
        <v>45896</v>
      </c>
      <c r="G251" t="inlineStr">
        <is>
          <t>Temporal Reasoning</t>
        </is>
      </c>
      <c r="H251" s="3">
        <f>IF(ISERROR(DATEVALUE(MID(D251, FIND(" ", D251)+1, FIND(",", D251)-FIND(" ", D251)-1) &amp; "-" &amp; LEFT(D251, FIND(" ", D251)-1) &amp; "-" &amp; RIGHT(D251, 4))), "20260101", TEXT(DATEVALUE(MID(D251, FIND(" ", D251)+1, FIND(",", D251)-FIND(" ", D251)-1) &amp; "-" &amp; LEFT(D251, FIND(" ", D251)-1) &amp; "-" &amp; RIGHT(D251, 4)), "YYYYMMDD"))</f>
        <v/>
      </c>
      <c r="I251" s="4" t="inlineStr">
        <is>
          <t>A</t>
        </is>
      </c>
    </row>
    <row r="252">
      <c r="A252" t="inlineStr">
        <is>
          <t>ITP 2025 – Interactive Theorem Proving (successor of TPHOLs)</t>
        </is>
      </c>
      <c r="B252" t="inlineStr">
        <is>
          <t>https://itp-conference.github.io</t>
        </is>
      </c>
      <c r="C252" t="inlineStr">
        <is>
          <t>Reykjavík, Iceland</t>
        </is>
      </c>
      <c r="D252" s="6" t="n">
        <v>45728</v>
      </c>
      <c r="E252" s="6" t="n">
        <v>45735</v>
      </c>
      <c r="F252" s="7" t="n">
        <v>45927</v>
      </c>
      <c r="G252" t="inlineStr">
        <is>
          <t>Theorem Proving</t>
        </is>
      </c>
      <c r="H252" s="3">
        <f>IF(ISERROR(DATEVALUE(MID(D252, FIND(" ", D252)+1, FIND(",", D252)-FIND(" ", D252)-1) &amp; "-" &amp; LEFT(D252, FIND(" ", D252)-1) &amp; "-" &amp; RIGHT(D252, 4))), "20260101", TEXT(DATEVALUE(MID(D252, FIND(" ", D252)+1, FIND(",", D252)-FIND(" ", D252)-1) &amp; "-" &amp; LEFT(D252, FIND(" ", D252)-1) &amp; "-" &amp; RIGHT(D252, 4)), "YYYYMMDD"))</f>
        <v/>
      </c>
      <c r="I252" s="4" t="inlineStr">
        <is>
          <t>A</t>
        </is>
      </c>
    </row>
    <row r="253">
      <c r="A253" t="inlineStr">
        <is>
          <t>TrustCom 2025 – IEEE Int’l Conf. on Trust, Security &amp; Privacy in Computing &amp; Comms</t>
        </is>
      </c>
      <c r="B253" t="inlineStr">
        <is>
          <t>https://ieee-aiplus-2025.org/</t>
        </is>
      </c>
      <c r="C253" t="inlineStr">
        <is>
          <t>Guiyang, China</t>
        </is>
      </c>
      <c r="D253" s="6" t="n">
        <v>45870</v>
      </c>
      <c r="E253" s="6" t="n">
        <v>45870</v>
      </c>
      <c r="F253" s="7" t="n">
        <v>45975</v>
      </c>
      <c r="G253" t="inlineStr">
        <is>
          <t>Security, Trust Computing</t>
        </is>
      </c>
      <c r="H253" s="3">
        <f>IF(ISERROR(DATEVALUE(MID(D253, FIND(" ", D253)+1, FIND(",", D253)-FIND(" ", D253)-1) &amp; "-" &amp; LEFT(D253, FIND(" ", D253)-1) &amp; "-" &amp; RIGHT(D253, 4))), "20260101", TEXT(DATEVALUE(MID(D253, FIND(" ", D253)+1, FIND(",", D253)-FIND(" ", D253)-1) &amp; "-" &amp; LEFT(D253, FIND(" ", D253)-1) &amp; "-" &amp; RIGHT(D253, 4)), "YYYYMMDD"))</f>
        <v/>
      </c>
      <c r="I253" s="4" t="inlineStr">
        <is>
          <t>A</t>
        </is>
      </c>
    </row>
    <row r="254">
      <c r="A254" t="inlineStr">
        <is>
          <t>UIST 2025 – ACM Symp. on User Interface Software &amp; Technology</t>
        </is>
      </c>
      <c r="B254" t="inlineStr">
        <is>
          <t>https://uist.acm.org/</t>
        </is>
      </c>
      <c r="C254" t="inlineStr">
        <is>
          <t>Cambridge, MA USA</t>
        </is>
      </c>
      <c r="D254" s="6" t="n">
        <v>45749</v>
      </c>
      <c r="E254" s="6" t="n">
        <v>45756</v>
      </c>
      <c r="F254" s="7" t="n">
        <v>45928</v>
      </c>
      <c r="G254" t="inlineStr">
        <is>
          <t>User Interfaces, HCI</t>
        </is>
      </c>
      <c r="H254" s="3">
        <f>IF(ISERROR(DATEVALUE(MID(D254, FIND(" ", D254)+1, FIND(",", D254)-FIND(" ", D254)-1) &amp; "-" &amp; LEFT(D254, FIND(" ", D254)-1) &amp; "-" &amp; RIGHT(D254, 4))), "20260101", TEXT(DATEVALUE(MID(D254, FIND(" ", D254)+1, FIND(",", D254)-FIND(" ", D254)-1) &amp; "-" &amp; LEFT(D254, FIND(" ", D254)-1) &amp; "-" &amp; RIGHT(D254, 4)), "YYYYMMDD"))</f>
        <v/>
      </c>
      <c r="I254" s="4" t="inlineStr">
        <is>
          <t>A</t>
        </is>
      </c>
    </row>
    <row r="255">
      <c r="A255" t="inlineStr">
        <is>
          <t>USENIX ATC 2025</t>
        </is>
      </c>
      <c r="B255" t="inlineStr">
        <is>
          <t>https://www.usenix.org/conference/atc25</t>
        </is>
      </c>
      <c r="C255" t="inlineStr">
        <is>
          <t>Boston, MA USA</t>
        </is>
      </c>
      <c r="D255" s="6" t="inlineStr">
        <is>
          <t>January 7 2025</t>
        </is>
      </c>
      <c r="E255" s="6" t="inlineStr">
        <is>
          <t>January 14 2025</t>
        </is>
      </c>
      <c r="F255" t="inlineStr">
        <is>
          <t>July 7 2025</t>
        </is>
      </c>
      <c r="G255" t="inlineStr">
        <is>
          <t>Systems; Operating Systems; Networking</t>
        </is>
      </c>
      <c r="H255" s="3">
        <f>IF(ISERROR(DATEVALUE(MID(D255, FIND(" ", D255)+1, FIND(",", D255)-FIND(" ", D255)-1) &amp; "-" &amp; LEFT(D255, FIND(" ", D255)-1) &amp; "-" &amp; RIGHT(D255, 4))), "20260101", TEXT(DATEVALUE(MID(D255, FIND(" ", D255)+1, FIND(",", D255)-FIND(" ", D255)-1) &amp; "-" &amp; LEFT(D255, FIND(" ", D255)-1) &amp; "-" &amp; RIGHT(D255, 4)), "YYYYMMDD"))</f>
        <v/>
      </c>
      <c r="I255" s="4" t="inlineStr">
        <is>
          <t>A</t>
        </is>
      </c>
    </row>
    <row r="256">
      <c r="A256" t="inlineStr">
        <is>
          <t>USENIX Security 2025</t>
        </is>
      </c>
      <c r="B256" t="inlineStr">
        <is>
          <t>https://www.usenix.org/conference/usenixsecurity25</t>
        </is>
      </c>
      <c r="C256" t="inlineStr">
        <is>
          <t>Seattle, WA USA</t>
        </is>
      </c>
      <c r="D256" s="6" t="inlineStr">
        <is>
          <t>January 22 2025</t>
        </is>
      </c>
      <c r="E256" s="6" t="inlineStr">
        <is>
          <t>January 22 2025</t>
        </is>
      </c>
      <c r="F256" t="inlineStr">
        <is>
          <t>August 13 2025</t>
        </is>
      </c>
      <c r="G256" t="inlineStr">
        <is>
          <t>Computer &amp; Network Security</t>
        </is>
      </c>
      <c r="H256" s="3">
        <f>IF(ISERROR(DATEVALUE(MID(D256, FIND(" ", D256)+1, FIND(",", D256)-FIND(" ", D256)-1) &amp; "-" &amp; LEFT(D256, FIND(" ", D256)-1) &amp; "-" &amp; RIGHT(D256, 4))), "20260101", TEXT(DATEVALUE(MID(D256, FIND(" ", D256)+1, FIND(",", D256)-FIND(" ", D256)-1) &amp; "-" &amp; LEFT(D256, FIND(" ", D256)-1) &amp; "-" &amp; RIGHT(D256, 4)), "YYYYMMDD"))</f>
        <v/>
      </c>
      <c r="I256" s="4" t="inlineStr">
        <is>
          <t>A</t>
        </is>
      </c>
    </row>
    <row r="257">
      <c r="A257" t="inlineStr">
        <is>
          <t>VL/HCC 2025</t>
        </is>
      </c>
      <c r="B257" t="inlineStr">
        <is>
          <t>https://conf.researchr.org/home/vlhcc-2025</t>
        </is>
      </c>
      <c r="C257" t="inlineStr">
        <is>
          <t>Raleigh, NC USA</t>
        </is>
      </c>
      <c r="D257" s="6" t="inlineStr">
        <is>
          <t>May 9 2025</t>
        </is>
      </c>
      <c r="E257" s="6" t="inlineStr">
        <is>
          <t>May 16 2025</t>
        </is>
      </c>
      <c r="F257" t="inlineStr">
        <is>
          <t>October 6 2025</t>
        </is>
      </c>
      <c r="G257" t="inlineStr">
        <is>
          <t>Visual Languages; Human-Centred Computing</t>
        </is>
      </c>
      <c r="H257" s="3">
        <f>IF(ISERROR(DATEVALUE(MID(D257, FIND(" ", D257)+1, FIND(",", D257)-FIND(" ", D257)-1) &amp; "-" &amp; LEFT(D257, FIND(" ", D257)-1) &amp; "-" &amp; RIGHT(D257, 4))), "20260101", TEXT(DATEVALUE(MID(D257, FIND(" ", D257)+1, FIND(",", D257)-FIND(" ", D257)-1) &amp; "-" &amp; LEFT(D257, FIND(" ", D257)-1) &amp; "-" &amp; RIGHT(D257, 4)), "YYYYMMDD"))</f>
        <v/>
      </c>
      <c r="I257" s="4" t="inlineStr">
        <is>
          <t>A</t>
        </is>
      </c>
    </row>
    <row r="258">
      <c r="A258" t="inlineStr">
        <is>
          <t>VRST 2025</t>
        </is>
      </c>
      <c r="B258" t="inlineStr">
        <is>
          <t>https://vrst.acm.org/vrst2025/</t>
        </is>
      </c>
      <c r="C258" t="inlineStr">
        <is>
          <t>Montreal, QC Canada</t>
        </is>
      </c>
      <c r="D258" s="6" t="inlineStr">
        <is>
          <t>July 7 2025</t>
        </is>
      </c>
      <c r="E258" s="6" t="inlineStr">
        <is>
          <t>July 14 2025</t>
        </is>
      </c>
      <c r="F258" t="inlineStr">
        <is>
          <t>November 12 2025</t>
        </is>
      </c>
      <c r="G258" t="inlineStr">
        <is>
          <t>Virtual-/Augmented-Reality Software &amp; Tech</t>
        </is>
      </c>
      <c r="H258" s="3">
        <f>IF(ISERROR(DATEVALUE(MID(D258, FIND(" ", D258)+1, FIND(",", D258)-FIND(" ", D258)-1) &amp; "-" &amp; LEFT(D258, FIND(" ", D258)-1) &amp; "-" &amp; RIGHT(D258, 4))), "20260101", TEXT(DATEVALUE(MID(D258, FIND(" ", D258)+1, FIND(",", D258)-FIND(" ", D258)-1) &amp; "-" &amp; LEFT(D258, FIND(" ", D258)-1) &amp; "-" &amp; RIGHT(D258, 4)), "YYYYMMDD"))</f>
        <v/>
      </c>
      <c r="I258" s="4" t="inlineStr">
        <is>
          <t>A</t>
        </is>
      </c>
    </row>
    <row r="259">
      <c r="A259" t="inlineStr">
        <is>
          <t>WACV 2025</t>
        </is>
      </c>
      <c r="B259" t="inlineStr">
        <is>
          <t>https://wacv2025.thecvf.com/</t>
        </is>
      </c>
      <c r="C259" t="inlineStr">
        <is>
          <t>Tucson, AZ USA</t>
        </is>
      </c>
      <c r="D259" s="6" t="inlineStr">
        <is>
          <t>July 15 2024</t>
        </is>
      </c>
      <c r="E259" s="6" t="inlineStr">
        <is>
          <t>July 15 2024</t>
        </is>
      </c>
      <c r="F259" t="inlineStr">
        <is>
          <t>February 28 2025</t>
        </is>
      </c>
      <c r="G259" t="inlineStr">
        <is>
          <t>Computer Vision Applications</t>
        </is>
      </c>
      <c r="H259" s="3">
        <f>IF(ISERROR(DATEVALUE(MID(D259, FIND(" ", D259)+1, FIND(",", D259)-FIND(" ", D259)-1) &amp; "-" &amp; LEFT(D259, FIND(" ", D259)-1) &amp; "-" &amp; RIGHT(D259, 4))), "20260101", TEXT(DATEVALUE(MID(D259, FIND(" ", D259)+1, FIND(",", D259)-FIND(" ", D259)-1) &amp; "-" &amp; LEFT(D259, FIND(" ", D259)-1) &amp; "-" &amp; RIGHT(D259, 4)), "YYYYMMDD"))</f>
        <v/>
      </c>
      <c r="I259" s="4" t="inlineStr">
        <is>
          <t>A</t>
        </is>
      </c>
    </row>
    <row r="260">
      <c r="A260" t="inlineStr">
        <is>
          <t>WADS 2025 – Algorithms &amp; Data Structures Symposium</t>
        </is>
      </c>
      <c r="B260" t="inlineStr">
        <is>
          <t>https://sites.google.com/view/cccgwads-2025/wads-2025</t>
        </is>
      </c>
      <c r="C260" t="inlineStr">
        <is>
          <t>Toronto, ON Canada</t>
        </is>
      </c>
      <c r="D260" s="6" t="inlineStr">
        <is>
          <t>February 21 2025</t>
        </is>
      </c>
      <c r="E260" s="6" t="inlineStr">
        <is>
          <t>February 21 2025</t>
        </is>
      </c>
      <c r="F260" t="inlineStr">
        <is>
          <t>August 11 2025</t>
        </is>
      </c>
      <c r="G260" t="inlineStr">
        <is>
          <t>Theoretical CS; Algorithms</t>
        </is>
      </c>
      <c r="H260" s="3">
        <f>IF(ISERROR(DATEVALUE(MID(D260, FIND(" ", D260)+1, FIND(",", D260)-FIND(" ", D260)-1) &amp; "-" &amp; LEFT(D260, FIND(" ", D260)-1) &amp; "-" &amp; RIGHT(D260, 4))), "20260101", TEXT(DATEVALUE(MID(D260, FIND(" ", D260)+1, FIND(",", D260)-FIND(" ", D260)-1) &amp; "-" &amp; LEFT(D260, FIND(" ", D260)-1) &amp; "-" &amp; RIGHT(D260, 4)), "YYYYMMDD"))</f>
        <v/>
      </c>
      <c r="I260" s="4" t="inlineStr">
        <is>
          <t>A</t>
        </is>
      </c>
    </row>
    <row r="261">
      <c r="A261" t="inlineStr">
        <is>
          <t>WG 2025 – Graph-Theoretic Concepts in CS</t>
        </is>
      </c>
      <c r="B261" t="inlineStr">
        <is>
          <t>https://algo.uni-trier.de/wg2025/</t>
        </is>
      </c>
      <c r="C261" t="inlineStr">
        <is>
          <t>Otzenhausen, Germany</t>
        </is>
      </c>
      <c r="D261" s="6" t="inlineStr">
        <is>
          <t>February 14 2025</t>
        </is>
      </c>
      <c r="E261" s="6" t="inlineStr">
        <is>
          <t>February 20 2025</t>
        </is>
      </c>
      <c r="F261" t="inlineStr">
        <is>
          <t>June 11 2025</t>
        </is>
      </c>
      <c r="G261" t="inlineStr">
        <is>
          <t>Graph Algorithms; Theory</t>
        </is>
      </c>
      <c r="H261" s="3">
        <f>IF(ISERROR(DATEVALUE(MID(D261, FIND(" ", D261)+1, FIND(",", D261)-FIND(" ", D261)-1) &amp; "-" &amp; LEFT(D261, FIND(" ", D261)-1) &amp; "-" &amp; RIGHT(D261, 4))), "20260101", TEXT(DATEVALUE(MID(D261, FIND(" ", D261)+1, FIND(",", D261)-FIND(" ", D261)-1) &amp; "-" &amp; LEFT(D261, FIND(" ", D261)-1) &amp; "-" &amp; RIGHT(D261, 4)), "YYYYMMDD"))</f>
        <v/>
      </c>
      <c r="I261" s="4" t="inlineStr">
        <is>
          <t>A</t>
        </is>
      </c>
    </row>
    <row r="262">
      <c r="A262" t="inlineStr">
        <is>
          <t>WICSA 2025 (at ICSA)</t>
        </is>
      </c>
      <c r="B262" t="inlineStr">
        <is>
          <t>https://conf.researchr.org/home/icsa-2025</t>
        </is>
      </c>
      <c r="C262" t="inlineStr">
        <is>
          <t>Odense, Denmark</t>
        </is>
      </c>
      <c r="D262" s="6" t="inlineStr">
        <is>
          <t>November 8 2024</t>
        </is>
      </c>
      <c r="E262" s="6" t="inlineStr">
        <is>
          <t>November 15 2024</t>
        </is>
      </c>
      <c r="F262" t="inlineStr">
        <is>
          <t>March 31 2025</t>
        </is>
      </c>
      <c r="G262" t="inlineStr">
        <is>
          <t>Software Architecture</t>
        </is>
      </c>
      <c r="H262" s="3">
        <f>IF(ISERROR(DATEVALUE(MID(D262, FIND(" ", D262)+1, FIND(",", D262)-FIND(" ", D262)-1) &amp; "-" &amp; LEFT(D262, FIND(" ", D262)-1) &amp; "-" &amp; RIGHT(D262, 4))), "20260101", TEXT(DATEVALUE(MID(D262, FIND(" ", D262)+1, FIND(",", D262)-FIND(" ", D262)-1) &amp; "-" &amp; LEFT(D262, FIND(" ", D262)-1) &amp; "-" &amp; RIGHT(D262, 4)), "YYYYMMDD"))</f>
        <v/>
      </c>
      <c r="I262" s="4" t="inlineStr">
        <is>
          <t>A</t>
        </is>
      </c>
    </row>
    <row r="263">
      <c r="A263" t="inlineStr">
        <is>
          <t>WISE 2025 – Web Information Systems Eng.</t>
        </is>
      </c>
      <c r="B263" t="inlineStr">
        <is>
          <t>https://wise2025.ficloud.org/</t>
        </is>
      </c>
      <c r="C263" t="inlineStr">
        <is>
          <t>Marrakech, Morocco</t>
        </is>
      </c>
      <c r="D263" s="6" t="inlineStr">
        <is>
          <t>May 31 2025</t>
        </is>
      </c>
      <c r="E263" s="6" t="inlineStr">
        <is>
          <t>May 31 2025</t>
        </is>
      </c>
      <c r="F263" t="inlineStr">
        <is>
          <t>December 15 2025</t>
        </is>
      </c>
      <c r="G263" t="inlineStr">
        <is>
          <t>Web Information Systems</t>
        </is>
      </c>
      <c r="H263" s="3">
        <f>IF(ISERROR(DATEVALUE(MID(D263, FIND(" ", D263)+1, FIND(",", D263)-FIND(" ", D263)-1) &amp; "-" &amp; LEFT(D263, FIND(" ", D263)-1) &amp; "-" &amp; RIGHT(D263, 4))), "20260101", TEXT(DATEVALUE(MID(D263, FIND(" ", D263)+1, FIND(",", D263)-FIND(" ", D263)-1) &amp; "-" &amp; LEFT(D263, FIND(" ", D263)-1) &amp; "-" &amp; RIGHT(D263, 4)), "YYYYMMDD"))</f>
        <v/>
      </c>
      <c r="I263" s="4" t="inlineStr">
        <is>
          <t>A</t>
        </is>
      </c>
    </row>
    <row r="264">
      <c r="A264" t="inlineStr">
        <is>
          <t>AISTATS 2026 (International Conference on Artificial Intelligence and Statistics)</t>
        </is>
      </c>
      <c r="B264" t="inlineStr">
        <is>
          <t>https://aistats.org/aistats2026/</t>
        </is>
      </c>
      <c r="C264" t="inlineStr">
        <is>
          <t>Singapore</t>
        </is>
      </c>
      <c r="D264" s="6" t="inlineStr">
        <is>
          <t>October 16, 2025</t>
        </is>
      </c>
      <c r="E264" s="6" t="inlineStr">
        <is>
          <t>October 23, 2025</t>
        </is>
      </c>
      <c r="F264" t="inlineStr">
        <is>
          <t>May 2, 2026</t>
        </is>
      </c>
      <c r="G264" t="inlineStr">
        <is>
          <t>ML, PM, RL, DL, ETF</t>
        </is>
      </c>
      <c r="H264" s="3">
        <f>IF(ISERROR(DATEVALUE(MID(D264, FIND(" ", D264)+1, FIND(",", D264)-FIND(" ", D264)-1) &amp; "-" &amp; LEFT(D264, FIND(" ", D264)-1) &amp; "-" &amp; RIGHT(D264, 4))), "20260101", TEXT(DATEVALUE(MID(D264, FIND(" ", D264)+1, FIND(",", D264)-FIND(" ", D264)-1) &amp; "-" &amp; LEFT(D264, FIND(" ", D264)-1) &amp; "-" &amp; RIGHT(D264, 4)), "YYYYMMDD"))</f>
        <v/>
      </c>
      <c r="I264" t="inlineStr">
        <is>
          <t>B</t>
        </is>
      </c>
    </row>
    <row r="265">
      <c r="A265" t="inlineStr">
        <is>
          <t>CVPR 2026 (Conference on Computer Vision and Pattern Recognition)</t>
        </is>
      </c>
      <c r="B265" t="inlineStr">
        <is>
          <t>https://cvpr.thecvf.com/Conferences/2026/CallForPapers</t>
        </is>
      </c>
      <c r="C265" t="inlineStr">
        <is>
          <t>Denver, Colorado, USA</t>
        </is>
      </c>
      <c r="D265" s="6" t="inlineStr">
        <is>
          <t>November 7, 2025</t>
        </is>
      </c>
      <c r="E265" s="6" t="inlineStr">
        <is>
          <t>November 13, 2025</t>
        </is>
      </c>
      <c r="F265" t="inlineStr">
        <is>
          <t>June 3, 2026</t>
        </is>
      </c>
      <c r="G265" t="inlineStr">
        <is>
          <t>CV, PR, DL, AA</t>
        </is>
      </c>
      <c r="H265" s="3">
        <f>IF(ISERROR(DATEVALUE(MID(D265, FIND(" ", D265)+1, FIND(",", D265)-FIND(" ", D265)-1) &amp; "-" &amp; LEFT(D265, FIND(" ", D265)-1) &amp; "-" &amp; RIGHT(D265, 4))), "20260101", TEXT(DATEVALUE(MID(D265, FIND(" ", D265)+1, FIND(",", D265)-FIND(" ", D265)-1) &amp; "-" &amp; LEFT(D265, FIND(" ", D265)-1) &amp; "-" &amp; RIGHT(D265, 4)), "YYYYMMDD"))</f>
        <v/>
      </c>
      <c r="I265" t="inlineStr">
        <is>
          <t>A</t>
        </is>
      </c>
    </row>
    <row r="266">
      <c r="A266" t="inlineStr">
        <is>
          <t>ICLR 2026 (International Conference on Learning Representations)</t>
        </is>
      </c>
      <c r="B266" t="inlineStr">
        <is>
          <t>https://iclr.cc/Conferences/2026</t>
        </is>
      </c>
      <c r="C266" t="inlineStr">
        <is>
          <t>Rio de Janeiro, Brazil</t>
        </is>
      </c>
      <c r="D266" s="6" t="inlineStr">
        <is>
          <t>September 19, 2025</t>
        </is>
      </c>
      <c r="E266" s="6" t="inlineStr">
        <is>
          <t>September 26, 2025</t>
        </is>
      </c>
      <c r="F266" t="inlineStr">
        <is>
          <t>April 23, 2026</t>
        </is>
      </c>
      <c r="G266" t="inlineStr">
        <is>
          <t>ML, RL, MAS</t>
        </is>
      </c>
      <c r="H266" s="3">
        <f>IF(ISERROR(DATEVALUE(MID(D266, FIND(" ", D266)+1, FIND(",", D266)-FIND(" ", D266)-1) &amp; "-" &amp; LEFT(D266, FIND(" ", D266)-1) &amp; "-" &amp; RIGHT(D266, 4))), "20260101", TEXT(DATEVALUE(MID(D266, FIND(" ", D266)+1, FIND(",", D266)-FIND(" ", D266)-1) &amp; "-" &amp; LEFT(D266, FIND(" ", D266)-1) &amp; "-" &amp; RIGHT(D266, 4)), "YYYYMMDD"))</f>
        <v/>
      </c>
      <c r="I266" t="inlineStr">
        <is>
          <t>A*</t>
        </is>
      </c>
    </row>
    <row r="267">
      <c r="A267" t="inlineStr">
        <is>
          <t>AAMAS 2026 (International Conference on Autonomous Agents and Multiagent Systems)</t>
        </is>
      </c>
      <c r="B267" t="inlineStr">
        <is>
          <t>https://cyprusconferences.org/aamas2026/</t>
        </is>
      </c>
      <c r="C267" t="inlineStr">
        <is>
          <t>Paphos, Cyprus</t>
        </is>
      </c>
      <c r="D267" s="6" t="inlineStr">
        <is>
          <t>October 1, 2025</t>
        </is>
      </c>
      <c r="E267" s="6" t="inlineStr">
        <is>
          <t>October 8, 2025</t>
        </is>
      </c>
      <c r="F267" t="inlineStr">
        <is>
          <t>May 25, 2026</t>
        </is>
      </c>
      <c r="G267" t="inlineStr">
        <is>
          <t>MAS, HCAI, ETF</t>
        </is>
      </c>
      <c r="H267" s="3">
        <f>IF(ISERROR(DATEVALUE(MID(D267, FIND(" ", D267)+1, FIND(",", D267)-FIND(" ", D267)-1) &amp; "-" &amp; LEFT(D267, FIND(" ", D267)-1) &amp; "-" &amp; RIGHT(D267, 4))), "20260101", TEXT(DATEVALUE(MID(D267, FIND(" ", D267)+1, FIND(",", D267)-FIND(" ", D267)-1) &amp; "-" &amp; LEFT(D267, FIND(" ", D267)-1) &amp; "-" &amp; RIGHT(D267, 4)), "YYYYMMDD"))</f>
        <v/>
      </c>
      <c r="I267" t="inlineStr">
        <is>
          <t>A*</t>
        </is>
      </c>
    </row>
    <row r="268">
      <c r="A268" t="inlineStr">
        <is>
          <t>ACM CHI 2026 (Conference on Human Factors in Computing Systems)</t>
        </is>
      </c>
      <c r="B268" t="inlineStr">
        <is>
          <t>https://chi2026.acm.org/</t>
        </is>
      </c>
      <c r="C268" t="inlineStr">
        <is>
          <t>Barcelona, Spain</t>
        </is>
      </c>
      <c r="D268" s="6" t="inlineStr">
        <is>
          <t>September 4, 2025</t>
        </is>
      </c>
      <c r="E268" s="6" t="inlineStr">
        <is>
          <t>September 11, 2025</t>
        </is>
      </c>
      <c r="F268" t="inlineStr">
        <is>
          <t>April 13, 2026</t>
        </is>
      </c>
      <c r="G268" t="inlineStr">
        <is>
          <t>HCI, HC, UX</t>
        </is>
      </c>
      <c r="H268" s="3">
        <f>IF(ISERROR(DATEVALUE(MID(D268, FIND(" ", D268)+1, FIND(",", D268)-FIND(" ", D268)-1) &amp; "-" &amp; LEFT(D268, FIND(" ", D268)-1) &amp; "-" &amp; RIGHT(D268, 4))), "20260101", TEXT(DATEVALUE(MID(D268, FIND(" ", D268)+1, FIND(",", D268)-FIND(" ", D268)-1) &amp; "-" &amp; LEFT(D268, FIND(" ", D268)-1) &amp; "-" &amp; RIGHT(D268, 4)), "YYYYMMDD"))</f>
        <v/>
      </c>
      <c r="I268" t="inlineStr">
        <is>
          <t>A*</t>
        </is>
      </c>
    </row>
    <row r="269">
      <c r="A269" t="inlineStr">
        <is>
          <t>ECIR 2026 (European Conference on Information Retrieval)</t>
        </is>
      </c>
      <c r="B269" t="inlineStr">
        <is>
          <t>https://ecir2026.eu/</t>
        </is>
      </c>
      <c r="C269" t="inlineStr">
        <is>
          <t>Bari, Italy</t>
        </is>
      </c>
      <c r="D269" s="6" t="inlineStr">
        <is>
          <t>September 25, 2025</t>
        </is>
      </c>
      <c r="E269" s="6" t="inlineStr">
        <is>
          <t>October 2, 2025</t>
        </is>
      </c>
      <c r="F269" t="inlineStr">
        <is>
          <t>April 13, 2026</t>
        </is>
      </c>
      <c r="G269" t="inlineStr">
        <is>
          <t>IR, DM</t>
        </is>
      </c>
      <c r="H269" s="3">
        <f>IF(ISERROR(DATEVALUE(MID(D269, FIND(" ", D269)+1, FIND(",", D269)-FIND(" ", D269)-1) &amp; "-" &amp; LEFT(D269, FIND(" ", D269)-1) &amp; "-" &amp; RIGHT(D269, 4))), "20260101", TEXT(DATEVALUE(MID(D269, FIND(" ", D269)+1, FIND(",", D269)-FIND(" ", D269)-1) &amp; "-" &amp; LEFT(D269, FIND(" ", D269)-1) &amp; "-" &amp; RIGHT(D269, 4)), "YYYYMMDD"))</f>
        <v/>
      </c>
      <c r="I269" t="inlineStr">
        <is>
          <t>B</t>
        </is>
      </c>
    </row>
    <row r="270">
      <c r="A270" t="inlineStr">
        <is>
          <t>ACL 2026 (Annual Meeting of the Association for Computational Linguistics)</t>
        </is>
      </c>
      <c r="B270" t="inlineStr">
        <is>
          <t>https://2026.aclweb.org/</t>
        </is>
      </c>
      <c r="C270" t="inlineStr">
        <is>
          <t>San Diego, California, USA</t>
        </is>
      </c>
      <c r="D270" s="6" t="inlineStr">
        <is>
          <t>January 5, 2026</t>
        </is>
      </c>
      <c r="E270" s="6" t="inlineStr">
        <is>
          <t>January 5, 2026</t>
        </is>
      </c>
      <c r="F270" t="inlineStr">
        <is>
          <t>July 2, 2026</t>
        </is>
      </c>
      <c r="G270" t="inlineStr">
        <is>
          <t>NLP, CLINLP, AICL</t>
        </is>
      </c>
      <c r="H270" s="3">
        <f>IF(ISERROR(DATEVALUE(MID(D270, FIND(" ", D270)+1, FIND(",", D270)-FIND(" ", D270)-1) &amp; "-" &amp; LEFT(D270, FIND(" ", D270)-1) &amp; "-" &amp; RIGHT(D270, 4))), "20260101", TEXT(DATEVALUE(MID(D270, FIND(" ", D270)+1, FIND(",", D270)-FIND(" ", D270)-1) &amp; "-" &amp; LEFT(D270, FIND(" ", D270)-1) &amp; "-" &amp; RIGHT(D270, 4)), "YYYYMMDD"))</f>
        <v/>
      </c>
      <c r="I270" t="inlineStr">
        <is>
          <t>A*</t>
        </is>
      </c>
    </row>
    <row r="271">
      <c r="A271" t="inlineStr">
        <is>
          <t>ICML 2026 (International Conference on Machine Learning)</t>
        </is>
      </c>
      <c r="B271" t="inlineStr">
        <is>
          <t>https://icml.cc/Conferences/2026</t>
        </is>
      </c>
      <c r="C271" t="inlineStr">
        <is>
          <t>Seoul, South Korea</t>
        </is>
      </c>
      <c r="D271" s="6" t="inlineStr">
        <is>
          <t>January 23, 2026</t>
        </is>
      </c>
      <c r="E271" s="6" t="inlineStr">
        <is>
          <t>January 28, 2026</t>
        </is>
      </c>
      <c r="F271" t="inlineStr">
        <is>
          <t>July 6, 2026</t>
        </is>
      </c>
      <c r="G271" t="inlineStr">
        <is>
          <t>ML, RL, DL</t>
        </is>
      </c>
      <c r="H271" s="3">
        <f>IF(ISERROR(DATEVALUE(MID(D271, FIND(" ", D271)+1, FIND(",", D271)-FIND(" ", D271)-1) &amp; "-" &amp; LEFT(D271, FIND(" ", D271)-1) &amp; "-" &amp; RIGHT(D271, 4))), "20260101", TEXT(DATEVALUE(MID(D271, FIND(" ", D271)+1, FIND(",", D271)-FIND(" ", D271)-1) &amp; "-" &amp; LEFT(D271, FIND(" ", D271)-1) &amp; "-" &amp; RIGHT(D271, 4)), "YYYYMMDD"))</f>
        <v/>
      </c>
      <c r="I271" t="inlineStr">
        <is>
          <t>A*</t>
        </is>
      </c>
    </row>
    <row r="272">
      <c r="A272" t="inlineStr">
        <is>
          <t>IJCAI-ECAI 2026 (International Joint Conference on Artificial Intelligence)</t>
        </is>
      </c>
      <c r="B272" t="inlineStr">
        <is>
          <t>https://2026.ijcai.org/</t>
        </is>
      </c>
      <c r="C272" t="inlineStr">
        <is>
          <t>Bremen, Germany</t>
        </is>
      </c>
      <c r="D272" s="6" t="inlineStr">
        <is>
          <t>January 12, 2026</t>
        </is>
      </c>
      <c r="E272" s="6" t="inlineStr">
        <is>
          <t>January 19, 2026</t>
        </is>
      </c>
      <c r="F272" t="inlineStr">
        <is>
          <t>August 15, 2026</t>
        </is>
      </c>
      <c r="G272" t="inlineStr">
        <is>
          <t>AI, KRR, MAS</t>
        </is>
      </c>
      <c r="H272" s="3">
        <f>IF(ISERROR(DATEVALUE(MID(D272, FIND(" ", D272)+1, FIND(",", D272)-FIND(" ", D272)-1) &amp; "-" &amp; LEFT(D272, FIND(" ", D272)-1) &amp; "-" &amp; RIGHT(D272, 4))), "20260101", TEXT(DATEVALUE(MID(D272, FIND(" ", D272)+1, FIND(",", D272)-FIND(" ", D272)-1) &amp; "-" &amp; LEFT(D272, FIND(" ", D272)-1) &amp; "-" &amp; RIGHT(D272, 4)), "YYYYMMDD"))</f>
        <v/>
      </c>
      <c r="I272" t="inlineStr">
        <is>
          <t>A*</t>
        </is>
      </c>
    </row>
    <row r="273">
      <c r="A273" t="inlineStr">
        <is>
          <t>ECCV 2026 (European Conference on Computer Vision)</t>
        </is>
      </c>
      <c r="B273" t="inlineStr">
        <is>
          <t>https://eccv.ecva.net/Conferences/2026</t>
        </is>
      </c>
      <c r="C273" t="inlineStr">
        <is>
          <t>Malmö, Sweden</t>
        </is>
      </c>
      <c r="D273" s="6" t="inlineStr">
        <is>
          <t>February 26, 2026</t>
        </is>
      </c>
      <c r="E273" s="6" t="inlineStr">
        <is>
          <t>March 5, 2026</t>
        </is>
      </c>
      <c r="F273" t="inlineStr">
        <is>
          <t>September 8, 2026</t>
        </is>
      </c>
      <c r="G273" t="inlineStr">
        <is>
          <t>Computer Vision</t>
        </is>
      </c>
      <c r="H273" s="3">
        <f>IF(ISERROR(DATEVALUE(MID(D273, FIND(" ", D273)+1, FIND(",", D273)-FIND(" ", D273)-1) &amp; "-" &amp; LEFT(D273, FIND(" ", D273)-1) &amp; "-" &amp; RIGHT(D273, 4))), "20260101", TEXT(DATEVALUE(MID(D273, FIND(" ", D273)+1, FIND(",", D273)-FIND(" ", D273)-1) &amp; "-" &amp; LEFT(D273, FIND(" ", D273)-1) &amp; "-" &amp; RIGHT(D273, 4)), "YYYYMMDD"))</f>
        <v/>
      </c>
      <c r="I273" t="inlineStr">
        <is>
          <t>A</t>
        </is>
      </c>
    </row>
    <row r="274" ht="16" customHeight="1">
      <c r="A274" s="9" t="inlineStr">
        <is>
          <t>ACM CoNEXT 2025</t>
        </is>
      </c>
      <c r="B274" s="2" t="inlineStr">
        <is>
          <t>https://conferences.sigcomm.org/co-next/2025/</t>
        </is>
      </c>
      <c r="C274" s="9" t="inlineStr">
        <is>
          <t>Hong Kong University of Science and Technology (HKUST), Hong Kong, China</t>
        </is>
      </c>
      <c r="D274" s="10" t="n">
        <v>45806</v>
      </c>
      <c r="E274" s="10" t="n">
        <v>45813</v>
      </c>
      <c r="F274" s="10" t="n">
        <v>45992</v>
      </c>
      <c r="G274" s="9" t="inlineStr">
        <is>
          <t>NET</t>
        </is>
      </c>
      <c r="H274" s="3">
        <f>IF(ISERROR(DATEVALUE(MID(D274, FIND(" ", D274)+1, FIND(",", D274)-FIND(" ", D274)-1) &amp; "-" &amp; LEFT(D274, FIND(" ", D274)-1) &amp; "-" &amp; RIGHT(D274, 4))), "20260101", TEXT(DATEVALUE(MID(D274, FIND(" ", D274)+1, FIND(",", D274)-FIND(" ", D274)-1) &amp; "-" &amp; LEFT(D274, FIND(" ", D274)-1) &amp; "-" &amp; RIGHT(D274, 4)), "YYYYMMDD"))</f>
        <v/>
      </c>
      <c r="I274" s="9" t="inlineStr">
        <is>
          <t>A</t>
        </is>
      </c>
    </row>
    <row r="275" ht="16" customHeight="1">
      <c r="A275" s="9" t="inlineStr">
        <is>
          <t>CoNEXT 2025</t>
        </is>
      </c>
      <c r="B275" s="2" t="inlineStr">
        <is>
          <t>https://conferences.sigcomm.org/co-next/2025/</t>
        </is>
      </c>
      <c r="C275" s="9" t="inlineStr">
        <is>
          <t>Hong Kong University of Science and Technology (HKUST), Hong Kong, China</t>
        </is>
      </c>
      <c r="D275" s="10" t="n">
        <v>45806</v>
      </c>
      <c r="E275" s="10" t="n">
        <v>45813</v>
      </c>
      <c r="F275" s="10" t="n">
        <v>45992</v>
      </c>
      <c r="G275" s="9" t="inlineStr">
        <is>
          <t>Networking; Experimental Systems</t>
        </is>
      </c>
      <c r="H275" s="3">
        <f>IF(ISERROR(DATEVALUE(MID(D275, FIND(" ", D275)+1, FIND(",", D275)-FIND(" ", D275)-1) &amp; "-" &amp; LEFT(D275, FIND(" ", D275)-1) &amp; "-" &amp; RIGHT(D275, 4))), "20260101", TEXT(DATEVALUE(MID(D275, FIND(" ", D275)+1, FIND(",", D275)-FIND(" ", D275)-1) &amp; "-" &amp; LEFT(D275, FIND(" ", D275)-1) &amp; "-" &amp; RIGHT(D275, 4)), "YYYYMMDD"))</f>
        <v/>
      </c>
      <c r="I275" s="9" t="inlineStr">
        <is>
          <t>A</t>
        </is>
      </c>
    </row>
    <row r="276" ht="16" customHeight="1">
      <c r="A276" s="9" t="inlineStr">
        <is>
          <t>ACM SIGGRAPH 2026 (Computer Graphics and Interactive Techniques)</t>
        </is>
      </c>
      <c r="B276" s="2" t="inlineStr">
        <is>
          <t>https://s2026.siggraph.org/</t>
        </is>
      </c>
      <c r="C276" s="9" t="inlineStr">
        <is>
          <t>Los Angeles, California, USA</t>
        </is>
      </c>
      <c r="D276" s="10" t="n">
        <v>46037</v>
      </c>
      <c r="E276" s="10" t="n">
        <v>46044</v>
      </c>
      <c r="F276" s="10" t="n">
        <v>46243</v>
      </c>
      <c r="G276" s="9" t="inlineStr">
        <is>
          <t>CG, VR, AR</t>
        </is>
      </c>
      <c r="H276" s="3">
        <f>IF(ISERROR(DATEVALUE(MID(D276, FIND(" ", D276)+1, FIND(",", D276)-FIND(" ", D276)-1) &amp; "-" &amp; LEFT(D276, FIND(" ", D276)-1) &amp; "-" &amp; RIGHT(D276, 4))), "20260101", TEXT(DATEVALUE(MID(D276, FIND(" ", D276)+1, FIND(",", D276)-FIND(" ", D276)-1) &amp; "-" &amp; LEFT(D276, FIND(" ", D276)-1) &amp; "-" &amp; RIGHT(D276, 4)), "YYYYMMDD"))</f>
        <v/>
      </c>
      <c r="I276" s="9" t="inlineStr">
        <is>
          <t>A*</t>
        </is>
      </c>
    </row>
    <row r="277" ht="16" customHeight="1">
      <c r="A277" s="9" t="inlineStr">
        <is>
          <t>WACV 2026 (IEEE Winter Conference on Applications of Computer Vision)</t>
        </is>
      </c>
      <c r="B277" s="2" t="inlineStr">
        <is>
          <t>https://wacv.thecvf.com/Conferences/2026/Dates</t>
        </is>
      </c>
      <c r="C277" s="9" t="inlineStr">
        <is>
          <t>JW Marriott Starr Pass Resort &amp; Spa, Tucson, Arizona, USA</t>
        </is>
      </c>
      <c r="D277" s="10" t="n">
        <v>45912</v>
      </c>
      <c r="E277" s="10" t="n">
        <v>45919</v>
      </c>
      <c r="F277" s="10" t="n">
        <v>46087</v>
      </c>
      <c r="G277" s="9" t="inlineStr">
        <is>
          <t>Computer Vision Applications</t>
        </is>
      </c>
      <c r="H277" s="3">
        <f>IF(ISERROR(DATEVALUE(MID(D277, FIND(" ", D277)+1, FIND(",", D277)-FIND(" ", D277)-1) &amp; "-" &amp; LEFT(D277, FIND(" ", D277)-1) &amp; "-" &amp; RIGHT(D277, 4))), "20260101", TEXT(DATEVALUE(MID(D277, FIND(" ", D277)+1, FIND(",", D277)-FIND(" ", D277)-1) &amp; "-" &amp; LEFT(D277, FIND(" ", D277)-1) &amp; "-" &amp; RIGHT(D277, 4)), "YYYYMMDD"))</f>
        <v/>
      </c>
      <c r="I277" s="9" t="inlineStr">
        <is>
          <t>A</t>
        </is>
      </c>
    </row>
    <row r="278" ht="16" customHeight="1">
      <c r="A278" s="9" t="inlineStr">
        <is>
          <t>PPSN 2026</t>
        </is>
      </c>
      <c r="B278" s="2" t="inlineStr">
        <is>
          <t>https://ppsn2026.disi.unitn.it/</t>
        </is>
      </c>
      <c r="C278" s="9" t="inlineStr">
        <is>
          <t>Trento, Italy</t>
        </is>
      </c>
      <c r="D278" s="11" t="n">
        <v>46109</v>
      </c>
      <c r="E278" s="11" t="n">
        <v>46109</v>
      </c>
      <c r="F278" s="10" t="n">
        <v>46279</v>
      </c>
      <c r="G278" s="9" t="inlineStr">
        <is>
          <t xml:space="preserve">Evolutionary Computation </t>
        </is>
      </c>
      <c r="H278" s="3">
        <f>IF(ISERROR(DATEVALUE(MID(D278, FIND(" ", D278)+1, FIND(",", D278)-FIND(" ", D278)-1) &amp; "-" &amp; LEFT(D278, FIND(" ", D278)-1) &amp; "-" &amp; RIGHT(D278, 4))), "20260101", TEXT(DATEVALUE(MID(D278, FIND(" ", D278)+1, FIND(",", D278)-FIND(" ", D278)-1) &amp; "-" &amp; LEFT(D278, FIND(" ", D278)-1) &amp; "-" &amp; RIGHT(D278, 4)), "YYYYMMDD"))</f>
        <v/>
      </c>
      <c r="I278" s="9" t="inlineStr">
        <is>
          <t>A</t>
        </is>
      </c>
    </row>
    <row r="279">
      <c r="A279" t="inlineStr">
        <is>
          <t>IEEE S&amp;P 2026 (IEEE Symposium on Security and Privacy)</t>
        </is>
      </c>
      <c r="B279" t="inlineStr">
        <is>
          <t>https://sp2026.ieee-security.org/</t>
        </is>
      </c>
      <c r="C279" t="inlineStr">
        <is>
          <t>San Francisco, CA, USA</t>
        </is>
      </c>
      <c r="D279" t="inlineStr">
        <is>
          <t>May 29, 2025</t>
        </is>
      </c>
      <c r="E279" t="inlineStr">
        <is>
          <t>June 5, 2025</t>
        </is>
      </c>
      <c r="F279" t="inlineStr">
        <is>
          <t>May 18, 2026</t>
        </is>
      </c>
      <c r="G279" t="inlineStr">
        <is>
          <t>Security &amp; privacy (systems, applied crypto, policy)</t>
        </is>
      </c>
      <c r="H279" s="3">
        <f>IF(ISERROR(DATEVALUE(MID(D279, FIND(" ", D279)+1, FIND(",", D279)-FIND(" ", D279)-1) &amp; "-" &amp; LEFT(D279, FIND(" ", D279)-1) &amp; "-" &amp; RIGHT(D279, 4))), "20260101", TEXT(DATEVALUE(MID(D279, FIND(" ", D279)+1, FIND(",", D279)-FIND(" ", D279)-1) &amp; "-" &amp; LEFT(D279, FIND(" ", D279)-1) &amp; "-" &amp; RIGHT(D279, 4)), "YYYYMMDD"))</f>
        <v/>
      </c>
      <c r="I279" t="inlineStr">
        <is>
          <t>A</t>
        </is>
      </c>
    </row>
    <row r="280">
      <c r="A280" t="inlineStr">
        <is>
          <t>ICSE 2026 (International Conference on Software Engineering)</t>
        </is>
      </c>
      <c r="B280" t="inlineStr">
        <is>
          <t>https://conf.researchr.org/home/icse-2026</t>
        </is>
      </c>
      <c r="C280" t="inlineStr">
        <is>
          <t>Rio de Janeiro, Brazil</t>
        </is>
      </c>
      <c r="D280" t="inlineStr">
        <is>
          <t>March 7, 2025</t>
        </is>
      </c>
      <c r="E280" t="inlineStr">
        <is>
          <t>March 14, 2025</t>
        </is>
      </c>
      <c r="F280" t="inlineStr">
        <is>
          <t>April 12, 2026</t>
        </is>
      </c>
      <c r="G280" t="inlineStr">
        <is>
          <t>Software engineering, tools, processes, empirical SE</t>
        </is>
      </c>
      <c r="H280" s="3">
        <f>IF(ISERROR(DATEVALUE(MID(D280, FIND(" ", D280)+1, FIND(",", D280)-FIND(" ", D280)-1) &amp; "-" &amp; LEFT(D280, FIND(" ", D280)-1) &amp; "-" &amp; RIGHT(D280, 4))), "20260101", TEXT(DATEVALUE(MID(D280, FIND(" ", D280)+1, FIND(",", D280)-FIND(" ", D280)-1) &amp; "-" &amp; LEFT(D280, FIND(" ", D280)-1) &amp; "-" &amp; RIGHT(D280, 4)), "YYYYMMDD"))</f>
        <v/>
      </c>
      <c r="I280" t="inlineStr">
        <is>
          <t>A+</t>
        </is>
      </c>
    </row>
    <row r="281">
      <c r="A281" t="inlineStr">
        <is>
          <t>ACM SIGMOD 2026 (SIGMOD)</t>
        </is>
      </c>
      <c r="B281" t="inlineStr">
        <is>
          <t>https://2026.sigmod.org/</t>
        </is>
      </c>
      <c r="C281" t="inlineStr">
        <is>
          <t>Bengaluru, India</t>
        </is>
      </c>
      <c r="D281" t="inlineStr">
        <is>
          <t>January 10, 2026</t>
        </is>
      </c>
      <c r="E281" t="inlineStr">
        <is>
          <t>January 17, 2026</t>
        </is>
      </c>
      <c r="F281" t="inlineStr">
        <is>
          <t>May 31, 2026</t>
        </is>
      </c>
      <c r="G281" t="inlineStr">
        <is>
          <t>Databases, data management, data systems</t>
        </is>
      </c>
      <c r="H281" s="3">
        <f>IF(ISERROR(DATEVALUE(MID(D281, FIND(" ", D281)+1, FIND(",", D281)-FIND(" ", D281)-1) &amp; "-" &amp; LEFT(D281, FIND(" ", D281)-1) &amp; "-" &amp; RIGHT(D281, 4))), "20260101", TEXT(DATEVALUE(MID(D281, FIND(" ", D281)+1, FIND(",", D281)-FIND(" ", D281)-1) &amp; "-" &amp; LEFT(D281, FIND(" ", D281)-1) &amp; "-" &amp; RIGHT(D281, 4)), "YYYYMMDD"))</f>
        <v/>
      </c>
      <c r="I281" t="inlineStr">
        <is>
          <t>A+</t>
        </is>
      </c>
    </row>
    <row r="282">
      <c r="A282" t="inlineStr">
        <is>
          <t>DIS 2026 (Designing Interactive Systems)</t>
        </is>
      </c>
      <c r="B282" t="inlineStr">
        <is>
          <t>https://dis.acm.org/2026/</t>
        </is>
      </c>
      <c r="C282" t="inlineStr">
        <is>
          <t>Singapore</t>
        </is>
      </c>
      <c r="D282" t="inlineStr">
        <is>
          <t>January 9, 2026</t>
        </is>
      </c>
      <c r="E282" t="inlineStr">
        <is>
          <t>January 19, 2026</t>
        </is>
      </c>
      <c r="F282" t="inlineStr">
        <is>
          <t>June 13, 2026</t>
        </is>
      </c>
      <c r="G282" t="inlineStr">
        <is>
          <t>HCI, interaction design, user experiences, prototyping</t>
        </is>
      </c>
      <c r="H282" s="3">
        <f>IF(ISERROR(DATEVALUE(MID(D282, FIND(" ", D282)+1, FIND(",", D282)-FIND(" ", D282)-1) &amp; "-" &amp; LEFT(D282, FIND(" ", D282)-1) &amp; "-" &amp; RIGHT(D282, 4))), "20260101", TEXT(DATEVALUE(MID(D282, FIND(" ", D282)+1, FIND(",", D282)-FIND(" ", D282)-1) &amp; "-" &amp; LEFT(D282, FIND(" ", D282)-1) &amp; "-" &amp; RIGHT(D282, 4)), "YYYYMMDD"))</f>
        <v/>
      </c>
      <c r="I282" t="inlineStr">
        <is>
          <t>A</t>
        </is>
      </c>
    </row>
    <row r="283">
      <c r="A283" t="inlineStr">
        <is>
          <t>SIGIR 2026 (ACM SIGIR)</t>
        </is>
      </c>
      <c r="B283" t="inlineStr">
        <is>
          <t>https://sigir2026.org/</t>
        </is>
      </c>
      <c r="C283" t="inlineStr">
        <is>
          <t>Melbourne (Naarm), Australia</t>
        </is>
      </c>
      <c r="D283" t="inlineStr">
        <is>
          <t>January 15, 2026</t>
        </is>
      </c>
      <c r="E283" t="inlineStr">
        <is>
          <t>January 22, 2026</t>
        </is>
      </c>
      <c r="F283" t="inlineStr">
        <is>
          <t>July 20, 2026</t>
        </is>
      </c>
      <c r="G283" t="inlineStr">
        <is>
          <t>Information retrieval, search, ranking, recommender systems</t>
        </is>
      </c>
      <c r="H283" s="3">
        <f>IF(ISERROR(DATEVALUE(MID(D283, FIND(" ", D283)+1, FIND(",", D283)-FIND(" ", D283)-1) &amp; "-" &amp; LEFT(D283, FIND(" ", D283)-1) &amp; "-" &amp; RIGHT(D283, 4))), "20260101", TEXT(DATEVALUE(MID(D283, FIND(" ", D283)+1, FIND(",", D283)-FIND(" ", D283)-1) &amp; "-" &amp; LEFT(D283, FIND(" ", D283)-1) &amp; "-" &amp; RIGHT(D283, 4)), "YYYYMMDD"))</f>
        <v/>
      </c>
      <c r="I283" t="inlineStr">
        <is>
          <t>A+</t>
        </is>
      </c>
    </row>
    <row r="284">
      <c r="A284" t="inlineStr">
        <is>
          <t>SIGCOMM 2026 (ACM SIG on Data Communication)</t>
        </is>
      </c>
      <c r="B284" t="inlineStr">
        <is>
          <t>https://conferences.sigcomm.org/</t>
        </is>
      </c>
      <c r="C284" t="inlineStr">
        <is>
          <t>Denver, CO, USA</t>
        </is>
      </c>
      <c r="D284" t="inlineStr">
        <is>
          <t>January 30, 2026</t>
        </is>
      </c>
      <c r="E284" t="inlineStr">
        <is>
          <t>January 30, 2026</t>
        </is>
      </c>
      <c r="F284" t="inlineStr">
        <is>
          <t>August 17, 2026</t>
        </is>
      </c>
      <c r="G284" t="inlineStr">
        <is>
          <t>Computer networking, protocols, measurement, systems</t>
        </is>
      </c>
      <c r="H284" s="3">
        <f>IF(ISERROR(DATEVALUE(MID(D284, FIND(" ", D284)+1, FIND(",", D284)-FIND(" ", D284)-1) &amp; "-" &amp; LEFT(D284, FIND(" ", D284)-1) &amp; "-" &amp; RIGHT(D284, 4))), "20260101", TEXT(DATEVALUE(MID(D284, FIND(" ", D284)+1, FIND(",", D284)-FIND(" ", D284)-1) &amp; "-" &amp; LEFT(D284, FIND(" ", D284)-1) &amp; "-" &amp; RIGHT(D284, 4)), "YYYYMMDD"))</f>
        <v/>
      </c>
      <c r="I284" t="inlineStr">
        <is>
          <t>A+</t>
        </is>
      </c>
    </row>
    <row r="285">
      <c r="A285" t="inlineStr">
        <is>
          <t>VLDB 2026 (Very Large Data Bases)</t>
        </is>
      </c>
      <c r="B285" t="inlineStr">
        <is>
          <t>https://vldb.org/</t>
        </is>
      </c>
      <c r="C285" t="inlineStr">
        <is>
          <t>Boston, MA, USA</t>
        </is>
      </c>
      <c r="D285" t="inlineStr">
        <is>
          <t>February 1, 2026</t>
        </is>
      </c>
      <c r="E285" t="inlineStr">
        <is>
          <t>February 1, 2026</t>
        </is>
      </c>
      <c r="F285" t="inlineStr">
        <is>
          <t>August 31, 2026</t>
        </is>
      </c>
      <c r="G285" t="inlineStr">
        <is>
          <t>Databases, data systems, scalable data management</t>
        </is>
      </c>
      <c r="H285" s="3">
        <f>IF(ISERROR(DATEVALUE(MID(D285, FIND(" ", D285)+1, FIND(",", D285)-FIND(" ", D285)-1) &amp; "-" &amp; LEFT(D285, FIND(" ", D285)-1) &amp; "-" &amp; RIGHT(D285, 4))), "20260101", TEXT(DATEVALUE(MID(D285, FIND(" ", D285)+1, FIND(",", D285)-FIND(" ", D285)-1) &amp; "-" &amp; LEFT(D285, FIND(" ", D285)-1) &amp; "-" &amp; RIGHT(D285, 4)), "YYYYMMDD"))</f>
        <v/>
      </c>
      <c r="I285" t="inlineStr">
        <is>
          <t>A+</t>
        </is>
      </c>
    </row>
    <row r="286">
      <c r="A286" t="inlineStr">
        <is>
          <t>CRYPTO 2026 (International Cryptology Conference)</t>
        </is>
      </c>
      <c r="B286" t="inlineStr">
        <is>
          <t>https://crypto.iacr.org/</t>
        </is>
      </c>
      <c r="C286" t="inlineStr">
        <is>
          <t>Santa Barbara, USA</t>
        </is>
      </c>
      <c r="D286" t="inlineStr">
        <is>
          <t>February 12, 2026</t>
        </is>
      </c>
      <c r="E286" t="inlineStr">
        <is>
          <t>February 12, 2026</t>
        </is>
      </c>
      <c r="F286" t="inlineStr">
        <is>
          <t>August 17, 2026</t>
        </is>
      </c>
      <c r="G286" t="inlineStr">
        <is>
          <t>Cryptography, security theory</t>
        </is>
      </c>
      <c r="H286" s="3">
        <f>IF(ISERROR(DATEVALUE(MID(D286, FIND(" ", D286)+1, FIND(",", D286)-FIND(" ", D286)-1) &amp; "-" &amp; LEFT(D286, FIND(" ", D286)-1) &amp; "-" &amp; RIGHT(D286, 4))), "20260101", TEXT(DATEVALUE(MID(D286, FIND(" ", D286)+1, FIND(",", D286)-FIND(" ", D286)-1) &amp; "-" &amp; LEFT(D286, FIND(" ", D286)-1) &amp; "-" &amp; RIGHT(D286, 4)), "YYYYMMDD"))</f>
        <v/>
      </c>
      <c r="I286" t="inlineStr">
        <is>
          <t>A+</t>
        </is>
      </c>
    </row>
    <row r="287">
      <c r="A287" t="inlineStr">
        <is>
          <t>CCS 2026 (ACM Conf. on Computer and Communications Security)</t>
        </is>
      </c>
      <c r="B287" t="inlineStr">
        <is>
          <t>https://www.sigsac.org/</t>
        </is>
      </c>
      <c r="C287" t="inlineStr">
        <is>
          <t>The Hague, The Netherlands</t>
        </is>
      </c>
      <c r="D287" t="inlineStr">
        <is>
          <t>January 7, 2026</t>
        </is>
      </c>
      <c r="E287" t="inlineStr">
        <is>
          <t>January 7, 2026</t>
        </is>
      </c>
      <c r="F287" t="inlineStr">
        <is>
          <t>November 15, 2026</t>
        </is>
      </c>
      <c r="G287" t="inlineStr">
        <is>
          <t>Computer security, communications security, privacy</t>
        </is>
      </c>
      <c r="H287" s="3">
        <f>IF(ISERROR(DATEVALUE(MID(D287, FIND(" ", D287)+1, FIND(",", D287)-FIND(" ", D287)-1) &amp; "-" &amp; LEFT(D287, FIND(" ", D287)-1) &amp; "-" &amp; RIGHT(D287, 4))), "20260101", TEXT(DATEVALUE(MID(D287, FIND(" ", D287)+1, FIND(",", D287)-FIND(" ", D287)-1) &amp; "-" &amp; LEFT(D287, FIND(" ", D287)-1) &amp; "-" &amp; RIGHT(D287, 4)), "YYYYMMDD"))</f>
        <v/>
      </c>
      <c r="I287" t="inlineStr">
        <is>
          <t>A+</t>
        </is>
      </c>
    </row>
    <row r="288">
      <c r="A288" t="inlineStr">
        <is>
          <t>DIS 2026 (Designing Interactive Systems Conference)</t>
        </is>
      </c>
      <c r="B288" t="inlineStr">
        <is>
          <t>https://dis.acm.org/2026/</t>
        </is>
      </c>
      <c r="C288" t="inlineStr">
        <is>
          <t>Singapore</t>
        </is>
      </c>
      <c r="D288" s="3" t="inlineStr">
        <is>
          <t>Jan 9, 2026</t>
        </is>
      </c>
      <c r="E288" s="3" t="inlineStr">
        <is>
          <t>Jan 19, 2026</t>
        </is>
      </c>
      <c r="F288" s="3" t="n">
        <v>46186</v>
      </c>
      <c r="G288" t="inlineStr">
        <is>
          <t>HCI, interaction design</t>
        </is>
      </c>
      <c r="H288" s="3">
        <f>IF(ISERROR(DATEVALUE(MID(D288, FIND(" ", D288)+1, FIND(",", D288)-FIND(" ", D288)-1) &amp; "-" &amp; LEFT(D288, FIND(" ", D288)-1) &amp; "-" &amp; RIGHT(D288, 4))), "20260101", TEXT(DATEVALUE(MID(D288, FIND(" ", D288)+1, FIND(",", D288)-FIND(" ", D288)-1) &amp; "-" &amp; LEFT(D288, FIND(" ", D288)-1) &amp; "-" &amp; RIGHT(D288, 4)), "YYYYMMDD"))</f>
        <v/>
      </c>
      <c r="I288" t="inlineStr">
        <is>
          <t>A</t>
        </is>
      </c>
    </row>
    <row r="289">
      <c r="A289" t="inlineStr">
        <is>
          <t>SIGIR 2026 (ACM SIGIR Conference on IR)</t>
        </is>
      </c>
      <c r="B289" t="inlineStr">
        <is>
          <t>https://sigir2026.org/</t>
        </is>
      </c>
      <c r="C289" t="inlineStr">
        <is>
          <t>Melbourne (Naarm), Australia</t>
        </is>
      </c>
      <c r="D289" s="3" t="inlineStr">
        <is>
          <t>January 15, 2026</t>
        </is>
      </c>
      <c r="E289" s="3" t="inlineStr">
        <is>
          <t>January 22, 2026</t>
        </is>
      </c>
      <c r="F289" s="3" t="n">
        <v>46223</v>
      </c>
      <c r="G289" t="inlineStr">
        <is>
          <t>Information retrieval. Notification: 2026-04-02</t>
        </is>
      </c>
      <c r="H289" s="3">
        <f>IF(ISERROR(DATEVALUE(MID(D289, FIND(" ", D289)+1, FIND(",", D289)-FIND(" ", D289)-1) &amp; "-" &amp; LEFT(D289, FIND(" ", D289)-1) &amp; "-" &amp; RIGHT(D289, 4))), "20260101", TEXT(DATEVALUE(MID(D289, FIND(" ", D289)+1, FIND(",", D289)-FIND(" ", D289)-1) &amp; "-" &amp; LEFT(D289, FIND(" ", D289)-1) &amp; "-" &amp; RIGHT(D289, 4)), "YYYYMMDD"))</f>
        <v/>
      </c>
      <c r="I289" t="inlineStr">
        <is>
          <t>A+</t>
        </is>
      </c>
    </row>
    <row r="290">
      <c r="A290" t="inlineStr">
        <is>
          <t>USENIX Security 2026 (USENIX Security Symposium)</t>
        </is>
      </c>
      <c r="B290" t="inlineStr">
        <is>
          <t>https://www.usenix.org/conference/usenixsecurity26</t>
        </is>
      </c>
      <c r="C290" t="inlineStr">
        <is>
          <t>Baltimore, MD, USA</t>
        </is>
      </c>
      <c r="D290" s="3" t="inlineStr">
        <is>
          <t>January 29, 2026</t>
        </is>
      </c>
      <c r="E290" s="3" t="inlineStr">
        <is>
          <t>February 5, 2026</t>
        </is>
      </c>
      <c r="F290" s="3" t="n">
        <v>46246</v>
      </c>
      <c r="G290" t="inlineStr">
        <is>
          <t>Systems security. Notification: 2026-05-14</t>
        </is>
      </c>
      <c r="H290" s="3">
        <f>IF(ISERROR(DATEVALUE(MID(D290, FIND(" ", D290)+1, FIND(",", D290)-FIND(" ", D290)-1) &amp; "-" &amp; LEFT(D290, FIND(" ", D290)-1) &amp; "-" &amp; RIGHT(D290, 4))), "20260101", TEXT(DATEVALUE(MID(D290, FIND(" ", D290)+1, FIND(",", D290)-FIND(" ", D290)-1) &amp; "-" &amp; LEFT(D290, FIND(" ", D290)-1) &amp; "-" &amp; RIGHT(D290, 4)), "YYYYMMDD"))</f>
        <v/>
      </c>
      <c r="I290" t="inlineStr">
        <is>
          <t>A</t>
        </is>
      </c>
    </row>
    <row r="291">
      <c r="A291" t="inlineStr">
        <is>
          <t>SIGCOMM 2026 (ACM SIGCOMM Conference)</t>
        </is>
      </c>
      <c r="B291" t="inlineStr">
        <is>
          <t>https://conferences.sigcomm.org/sigcomm/2026/</t>
        </is>
      </c>
      <c r="C291" t="inlineStr">
        <is>
          <t>Denver, CO, USA</t>
        </is>
      </c>
      <c r="D291" s="3" t="inlineStr">
        <is>
          <t>January 30, 2026</t>
        </is>
      </c>
      <c r="E291" s="3" t="inlineStr">
        <is>
          <t>February 6, 2026</t>
        </is>
      </c>
      <c r="F291" s="3" t="n">
        <v>46251</v>
      </c>
      <c r="G291" t="inlineStr">
        <is>
          <t>Computer networking</t>
        </is>
      </c>
      <c r="H291" s="3">
        <f>IF(ISERROR(DATEVALUE(MID(D291, FIND(" ", D291)+1, FIND(",", D291)-FIND(" ", D291)-1) &amp; "-" &amp; LEFT(D291, FIND(" ", D291)-1) &amp; "-" &amp; RIGHT(D291, 4))), "20260101", TEXT(DATEVALUE(MID(D291, FIND(" ", D291)+1, FIND(",", D291)-FIND(" ", D291)-1) &amp; "-" &amp; LEFT(D291, FIND(" ", D291)-1) &amp; "-" &amp; RIGHT(D291, 4)), "YYYYMMDD"))</f>
        <v/>
      </c>
      <c r="I291" t="inlineStr">
        <is>
          <t>A+</t>
        </is>
      </c>
    </row>
    <row r="292">
      <c r="A292" t="inlineStr">
        <is>
          <t>VLDB 2026 (International Conference on Very Large Data Bases)</t>
        </is>
      </c>
      <c r="B292" t="inlineStr">
        <is>
          <t>https://vldb.org/2026/</t>
        </is>
      </c>
      <c r="C292" t="inlineStr">
        <is>
          <t>Boston, MA, USA</t>
        </is>
      </c>
      <c r="D292" s="3" t="n">
        <v>46054</v>
      </c>
      <c r="E292" s="3" t="n">
        <v>46054</v>
      </c>
      <c r="F292" s="3" t="n">
        <v>46265</v>
      </c>
      <c r="G292" t="inlineStr">
        <is>
          <t>Databases. (Rolling monthly deadlines; next cycle Feb 1, 2026)</t>
        </is>
      </c>
      <c r="H292" s="3">
        <f>IF(ISERROR(DATEVALUE(MID(D292, FIND(" ", D292)+1, FIND(",", D292)-FIND(" ", D292)-1) &amp; "-" &amp; LEFT(D292, FIND(" ", D292)-1) &amp; "-" &amp; RIGHT(D292, 4))), "20260101", TEXT(DATEVALUE(MID(D292, FIND(" ", D292)+1, FIND(",", D292)-FIND(" ", D292)-1) &amp; "-" &amp; LEFT(D292, FIND(" ", D292)-1) &amp; "-" &amp; RIGHT(D292, 4)), "YYYYMMDD"))</f>
        <v/>
      </c>
      <c r="I292" t="inlineStr">
        <is>
          <t>A+</t>
        </is>
      </c>
    </row>
    <row r="293">
      <c r="A293" t="inlineStr">
        <is>
          <t>CRYPTO 2026 (International Cryptology Conference)</t>
        </is>
      </c>
      <c r="B293" t="inlineStr">
        <is>
          <t>https://crypto.iacr.org/</t>
        </is>
      </c>
      <c r="C293" t="inlineStr">
        <is>
          <t>Santa Barbara, CA, USA</t>
        </is>
      </c>
      <c r="D293" s="3" t="n">
        <v>46065</v>
      </c>
      <c r="E293" s="3" t="inlineStr">
        <is>
          <t>February 12, 2026</t>
        </is>
      </c>
      <c r="F293" s="3" t="n">
        <v>46251</v>
      </c>
      <c r="G293" t="inlineStr">
        <is>
          <t>Cryptography</t>
        </is>
      </c>
      <c r="H293" s="3">
        <f>IF(ISERROR(DATEVALUE(MID(D293, FIND(" ", D293)+1, FIND(",", D293)-FIND(" ", D293)-1) &amp; "-" &amp; LEFT(D293, FIND(" ", D293)-1) &amp; "-" &amp; RIGHT(D293, 4))), "20260101", TEXT(DATEVALUE(MID(D293, FIND(" ", D293)+1, FIND(",", D293)-FIND(" ", D293)-1) &amp; "-" &amp; LEFT(D293, FIND(" ", D293)-1) &amp; "-" &amp; RIGHT(D293, 4)), "YYYYMMDD"))</f>
        <v/>
      </c>
      <c r="I293" t="inlineStr">
        <is>
          <t>A+</t>
        </is>
      </c>
    </row>
    <row r="294">
      <c r="A294" t="inlineStr">
        <is>
          <t>CCS 2026 (ACM Conference on Computer and Communications Security)</t>
        </is>
      </c>
      <c r="B294" t="inlineStr">
        <is>
          <t>https://www.sigsac.org/ccs/CCS2026/</t>
        </is>
      </c>
      <c r="C294" t="inlineStr">
        <is>
          <t>The Hague, The Netherlands</t>
        </is>
      </c>
      <c r="D294" s="3" t="inlineStr">
        <is>
          <t>April 22, 2026</t>
        </is>
      </c>
      <c r="E294" s="3" t="inlineStr">
        <is>
          <t>April 29, 2026</t>
        </is>
      </c>
      <c r="F294" s="3" t="n">
        <v>46341</v>
      </c>
      <c r="G294" t="inlineStr">
        <is>
          <t>Computer security &amp; privacy</t>
        </is>
      </c>
      <c r="H294" s="3">
        <f>IF(ISERROR(DATEVALUE(MID(D294, FIND(" ", D294)+1, FIND(",", D294)-FIND(" ", D294)-1) &amp; "-" &amp; LEFT(D294, FIND(" ", D294)-1) &amp; "-" &amp; RIGHT(D294, 4))), "20260101", TEXT(DATEVALUE(MID(D294, FIND(" ", D294)+1, FIND(",", D294)-FIND(" ", D294)-1) &amp; "-" &amp; LEFT(D294, FIND(" ", D294)-1) &amp; "-" &amp; RIGHT(D294, 4)), "YYYYMMDD"))</f>
        <v/>
      </c>
      <c r="I294" t="inlineStr">
        <is>
          <t>A+</t>
        </is>
      </c>
    </row>
    <row r="295">
      <c r="A295" t="inlineStr">
        <is>
          <t>IMC 2026 (ACM Internet Measurement Conference)</t>
        </is>
      </c>
      <c r="B295" t="inlineStr">
        <is>
          <t>https://conferences.sigcomm.org/imc/2026/</t>
        </is>
      </c>
      <c r="C295" t="inlineStr">
        <is>
          <t>Karlsruhe, Germany</t>
        </is>
      </c>
      <c r="D295" s="3" t="inlineStr">
        <is>
          <t>April 22, 2026</t>
        </is>
      </c>
      <c r="E295" s="3" t="inlineStr">
        <is>
          <t>April 29, 2026</t>
        </is>
      </c>
      <c r="F295" s="3" t="n">
        <v>46307</v>
      </c>
      <c r="G295" t="inlineStr">
        <is>
          <t>Internet measurement</t>
        </is>
      </c>
      <c r="H295" s="3">
        <f>IF(ISERROR(DATEVALUE(MID(D295, FIND(" ", D295)+1, FIND(",", D295)-FIND(" ", D295)-1) &amp; "-" &amp; LEFT(D295, FIND(" ", D295)-1) &amp; "-" &amp; RIGHT(D295, 4))), "20260101", TEXT(DATEVALUE(MID(D295, FIND(" ", D295)+1, FIND(",", D295)-FIND(" ", D295)-1) &amp; "-" &amp; LEFT(D295, FIND(" ", D295)-1) &amp; "-" &amp; RIGHT(D295, 4)), "YYYYMMDD"))</f>
        <v/>
      </c>
      <c r="I295" t="inlineStr">
        <is>
          <t>A</t>
        </is>
      </c>
    </row>
    <row r="296">
      <c r="A296" t="inlineStr">
        <is>
          <t>KDD 2026 (ACM SIGKDD Conference on Knowledge Discovery and Data Mining)</t>
        </is>
      </c>
      <c r="B296" t="inlineStr">
        <is>
          <t>https://kdd2026.kdd.org/</t>
        </is>
      </c>
      <c r="C296" t="inlineStr">
        <is>
          <t>Jeju, Korea</t>
        </is>
      </c>
      <c r="D296" s="3" t="inlineStr">
        <is>
          <t>February 1, 2026</t>
        </is>
      </c>
      <c r="E296" s="3" t="inlineStr">
        <is>
          <t>February 8, 2026</t>
        </is>
      </c>
      <c r="F296" s="3" t="n">
        <v>46243</v>
      </c>
      <c r="G296" t="inlineStr">
        <is>
          <t>Data mining, ML. Notification: 2026-05-16</t>
        </is>
      </c>
      <c r="H296" s="3">
        <f>IF(ISERROR(DATEVALUE(MID(D296, FIND(" ", D296)+1, FIND(",", D296)-FIND(" ", D296)-1) &amp; "-" &amp; LEFT(D296, FIND(" ", D296)-1) &amp; "-" &amp; RIGHT(D296, 4))), "20260101", TEXT(DATEVALUE(MID(D296, FIND(" ", D296)+1, FIND(",", D296)-FIND(" ", D296)-1) &amp; "-" &amp; LEFT(D296, FIND(" ", D296)-1) &amp; "-" &amp; RIGHT(D296, 4)), "YYYYMMDD"))</f>
        <v/>
      </c>
      <c r="I296" t="inlineStr">
        <is>
          <t>A+</t>
        </is>
      </c>
    </row>
    <row r="297">
      <c r="A297" t="inlineStr">
        <is>
          <t>ICIP 2026 (IEEE International Conference on Image Processing)</t>
        </is>
      </c>
      <c r="B297" t="inlineStr">
        <is>
          <t>https://2026.ieeeicip.org/</t>
        </is>
      </c>
      <c r="C297" t="inlineStr">
        <is>
          <t>Tampere, Finland</t>
        </is>
      </c>
      <c r="D297" s="3" t="inlineStr">
        <is>
          <t>February 4, 2026</t>
        </is>
      </c>
      <c r="E297" s="3" t="inlineStr">
        <is>
          <t>February 4, 2026</t>
        </is>
      </c>
      <c r="F297" s="3" t="n">
        <v>46278</v>
      </c>
      <c r="G297" t="inlineStr">
        <is>
          <t>Image processing, computer vision. Notification: 2026-04-22</t>
        </is>
      </c>
      <c r="H297" s="3">
        <f>IF(ISERROR(DATEVALUE(MID(D297, FIND(" ", D297)+1, FIND(",", D297)-FIND(" ", D297)-1) &amp; "-" &amp; LEFT(D297, FIND(" ", D297)-1) &amp; "-" &amp; RIGHT(D297, 4))), "20260101", TEXT(DATEVALUE(MID(D297, FIND(" ", D297)+1, FIND(",", D297)-FIND(" ", D297)-1) &amp; "-" &amp; LEFT(D297, FIND(" ", D297)-1) &amp; "-" &amp; RIGHT(D297, 4)), "YYYYMMDD"))</f>
        <v/>
      </c>
      <c r="I297" t="inlineStr">
        <is>
          <t>A</t>
        </is>
      </c>
    </row>
    <row r="298">
      <c r="A298" t="inlineStr">
        <is>
          <t>CoNLL 2026 (Conference on Natural Language Learning)</t>
        </is>
      </c>
      <c r="B298" s="2" t="inlineStr">
        <is>
          <t>https://www.conll.org/</t>
        </is>
      </c>
      <c r="C298" t="inlineStr">
        <is>
          <t>San Diego, California, United States,</t>
        </is>
      </c>
      <c r="D298" s="3" t="inlineStr">
        <is>
          <t>February 19, 2026</t>
        </is>
      </c>
      <c r="E298" s="3" t="inlineStr">
        <is>
          <t>February 19, 2026</t>
        </is>
      </c>
      <c r="F298" s="3" t="n">
        <v>46206</v>
      </c>
      <c r="G298" t="inlineStr">
        <is>
          <t>NLP. Notification: 2026-04-21</t>
        </is>
      </c>
      <c r="H298" s="3">
        <f>IF(ISERROR(DATEVALUE(MID(D298, FIND(" ", D298)+1, FIND(",", D298)-FIND(" ", D298)-1) &amp; "-" &amp; LEFT(D298, FIND(" ", D298)-1) &amp; "-" &amp; RIGHT(D298, 4))), "20260101", TEXT(DATEVALUE(MID(D298, FIND(" ", D298)+1, FIND(",", D298)-FIND(" ", D298)-1) &amp; "-" &amp; LEFT(D298, FIND(" ", D298)-1) &amp; "-" &amp; RIGHT(D298, 4)), "YYYYMMDD"))</f>
        <v/>
      </c>
      <c r="I298" t="inlineStr">
        <is>
          <t>A</t>
        </is>
      </c>
    </row>
    <row r="299">
      <c r="A299" t="inlineStr">
        <is>
          <t>INTERSPEECH 2026 (Interspeech)</t>
        </is>
      </c>
      <c r="B299" t="inlineStr">
        <is>
          <t>https://www.interspeech2026.org/</t>
        </is>
      </c>
      <c r="C299" t="inlineStr">
        <is>
          <t>Sydney, Australia.</t>
        </is>
      </c>
      <c r="D299" s="3" t="inlineStr">
        <is>
          <t>February 25, 2026</t>
        </is>
      </c>
      <c r="E299" s="3" t="inlineStr">
        <is>
          <t>February 25, 2026</t>
        </is>
      </c>
      <c r="F299" s="3" t="n">
        <v>46292</v>
      </c>
      <c r="G299" t="inlineStr">
        <is>
          <t>Speech, audio, spoken language processing</t>
        </is>
      </c>
      <c r="H299" s="3">
        <f>IF(ISERROR(DATEVALUE(MID(D299, FIND(" ", D299)+1, FIND(",", D299)-FIND(" ", D299)-1) &amp; "-" &amp; LEFT(D299, FIND(" ", D299)-1) &amp; "-" &amp; RIGHT(D299, 4))), "20260101", TEXT(DATEVALUE(MID(D299, FIND(" ", D299)+1, FIND(",", D299)-FIND(" ", D299)-1) &amp; "-" &amp; LEFT(D299, FIND(" ", D299)-1) &amp; "-" &amp; RIGHT(D299, 4)), "YYYYMMDD"))</f>
        <v/>
      </c>
      <c r="I299" t="inlineStr">
        <is>
          <t>C</t>
        </is>
      </c>
    </row>
    <row r="300">
      <c r="A300" t="inlineStr">
        <is>
          <t>UAI 2026 (Conference on Uncertainty in Artificial Intelligence)</t>
        </is>
      </c>
      <c r="B300" s="2" t="inlineStr">
        <is>
          <t>https://www.auai.org/uai2026/</t>
        </is>
      </c>
      <c r="C300" t="inlineStr">
        <is>
          <t>Amsterdam, Netherlands</t>
        </is>
      </c>
      <c r="D300" s="3" t="inlineStr">
        <is>
          <t>February 25, 2026</t>
        </is>
      </c>
      <c r="E300" s="3" t="inlineStr">
        <is>
          <t>February 25, 2026</t>
        </is>
      </c>
      <c r="F300" s="3" t="n">
        <v>46251</v>
      </c>
      <c r="G300" t="inlineStr">
        <is>
          <t>Probabilistic ML, uncertainty. Notification: 2026-06-01</t>
        </is>
      </c>
      <c r="H300" s="3">
        <f>IF(ISERROR(DATEVALUE(MID(D300, FIND(" ", D300)+1, FIND(",", D300)-FIND(" ", D300)-1) &amp; "-" &amp; LEFT(D300, FIND(" ", D300)-1) &amp; "-" &amp; RIGHT(D300, 4))), "20260101", TEXT(DATEVALUE(MID(D300, FIND(" ", D300)+1, FIND(",", D300)-FIND(" ", D300)-1) &amp; "-" &amp; LEFT(D300, FIND(" ", D300)-1) &amp; "-" &amp; RIGHT(D300, 4)), "YYYYMMDD"))</f>
        <v/>
      </c>
      <c r="I300" t="inlineStr">
        <is>
          <t>A+</t>
        </is>
      </c>
    </row>
    <row r="301">
      <c r="A301" t="inlineStr">
        <is>
          <t>ECML-PKDD 2026 (European Conf. on ML and PKDD)</t>
        </is>
      </c>
      <c r="B301" s="2" t="inlineStr">
        <is>
          <t>https://ecmlpkdd.org/2026/</t>
        </is>
      </c>
      <c r="C301" t="inlineStr">
        <is>
          <t>Naples, Italy</t>
        </is>
      </c>
      <c r="D301" s="3" t="inlineStr">
        <is>
          <t>March 5, 2026</t>
        </is>
      </c>
      <c r="E301" s="3" t="inlineStr">
        <is>
          <t>March 12, 2026</t>
        </is>
      </c>
      <c r="F301" s="3" t="n">
        <v>46272</v>
      </c>
      <c r="G301" t="inlineStr">
        <is>
          <t>Machine learning, data mining. Notification: 2026-05-27</t>
        </is>
      </c>
      <c r="H301" s="3">
        <f>IF(ISERROR(DATEVALUE(MID(D301, FIND(" ", D301)+1, FIND(",", D301)-FIND(" ", D301)-1) &amp; "-" &amp; LEFT(D301, FIND(" ", D301)-1) &amp; "-" &amp; RIGHT(D301, 4))), "20260101", TEXT(DATEVALUE(MID(D301, FIND(" ", D301)+1, FIND(",", D301)-FIND(" ", D301)-1) &amp; "-" &amp; LEFT(D301, FIND(" ", D301)-1) &amp; "-" &amp; RIGHT(D301, 4)), "YYYYMMDD"))</f>
        <v/>
      </c>
      <c r="I301" t="inlineStr">
        <is>
          <t>A</t>
        </is>
      </c>
    </row>
    <row r="302">
      <c r="A302" t="inlineStr">
        <is>
          <t>ASE 2026 (International Conference on Automated Software Engineering)</t>
        </is>
      </c>
      <c r="B302" s="2" t="inlineStr">
        <is>
          <t>https://conf.researchr.org/home/ase-2026</t>
        </is>
      </c>
      <c r="C302" t="inlineStr">
        <is>
          <t>Munich, Germany</t>
        </is>
      </c>
      <c r="D302" s="3" t="inlineStr">
        <is>
          <t>March 26, 2025</t>
        </is>
      </c>
      <c r="E302" s="3" t="inlineStr">
        <is>
          <t>March 26, 2026</t>
        </is>
      </c>
      <c r="F302" s="3" t="n">
        <v>46307</v>
      </c>
      <c r="G302" t="inlineStr">
        <is>
          <t>Software engineering automation. Notification: 2026-07-16</t>
        </is>
      </c>
      <c r="H302" s="3">
        <f>IF(ISERROR(DATEVALUE(MID(D302, FIND(" ", D302)+1, FIND(",", D302)-FIND(" ", D302)-1) &amp; "-" &amp; LEFT(D302, FIND(" ", D302)-1) &amp; "-" &amp; RIGHT(D302, 4))), "20260101", TEXT(DATEVALUE(MID(D302, FIND(" ", D302)+1, FIND(",", D302)-FIND(" ", D302)-1) &amp; "-" &amp; LEFT(D302, FIND(" ", D302)-1) &amp; "-" &amp; RIGHT(D302, 4)), "YYYYMMDD"))</f>
        <v/>
      </c>
      <c r="I302" t="inlineStr">
        <is>
          <t>A</t>
        </is>
      </c>
    </row>
    <row r="303">
      <c r="A303" t="inlineStr">
        <is>
          <t>ADBIS 2026 (Advances in Databases and Information Systems)</t>
        </is>
      </c>
      <c r="B303" s="2" t="inlineStr">
        <is>
          <t>https://adbis26.sciencesconf.org/</t>
        </is>
      </c>
      <c r="C303" t="inlineStr">
        <is>
          <t>Orléans (France)</t>
        </is>
      </c>
      <c r="D303" s="3" t="inlineStr">
        <is>
          <t>April 14, 2026</t>
        </is>
      </c>
      <c r="E303" s="3" t="inlineStr">
        <is>
          <t>April 21, 2026</t>
        </is>
      </c>
      <c r="F303" s="3" t="n">
        <v>46293</v>
      </c>
      <c r="G303" t="inlineStr">
        <is>
          <t>Databases &amp; IS. Notification: 2026-05-29</t>
        </is>
      </c>
      <c r="H303" s="3">
        <f>IF(ISERROR(DATEVALUE(MID(D303, FIND(" ", D303)+1, FIND(",", D303)-FIND(" ", D303)-1) &amp; "-" &amp; LEFT(D303, FIND(" ", D303)-1) &amp; "-" &amp; RIGHT(D303, 4))), "20260101", TEXT(DATEVALUE(MID(D303, FIND(" ", D303)+1, FIND(",", D303)-FIND(" ", D303)-1) &amp; "-" &amp; LEFT(D303, FIND(" ", D303)-1) &amp; "-" &amp; RIGHT(D303, 4)), "YYYYMMDD"))</f>
        <v/>
      </c>
      <c r="I303" t="inlineStr">
        <is>
          <t>B</t>
        </is>
      </c>
    </row>
    <row r="304">
      <c r="A304" t="inlineStr">
        <is>
          <t>DSAA 2026 (Data Science and Advanced Analytics)</t>
        </is>
      </c>
      <c r="B304" t="inlineStr">
        <is>
          <t>https://dsaa2026.dsaa.co/</t>
        </is>
      </c>
      <c r="C304" t="inlineStr">
        <is>
          <t>New Delhi, India.</t>
        </is>
      </c>
      <c r="D304" s="3" t="n">
        <v>46143</v>
      </c>
      <c r="E304" s="3" t="inlineStr">
        <is>
          <t>May 1, 2026</t>
        </is>
      </c>
      <c r="F304" s="3" t="n">
        <v>46301</v>
      </c>
      <c r="G304" t="inlineStr">
        <is>
          <t>Data science, analytics. Notification: 2026-07-24</t>
        </is>
      </c>
      <c r="H304" s="3">
        <f>IF(ISERROR(DATEVALUE(MID(D304, FIND(" ", D304)+1, FIND(",", D304)-FIND(" ", D304)-1) &amp; "-" &amp; LEFT(D304, FIND(" ", D304)-1) &amp; "-" &amp; RIGHT(D304, 4))), "20260101", TEXT(DATEVALUE(MID(D304, FIND(" ", D304)+1, FIND(",", D304)-FIND(" ", D304)-1) &amp; "-" &amp; LEFT(D304, FIND(" ", D304)-1) &amp; "-" &amp; RIGHT(D304, 4)), "YYYYMMDD"))</f>
        <v/>
      </c>
      <c r="I304" t="inlineStr">
        <is>
          <t>C</t>
        </is>
      </c>
    </row>
    <row r="305">
      <c r="A305" t="inlineStr">
        <is>
          <t>ISWC 2026 (International Semantic Web Conference)</t>
        </is>
      </c>
      <c r="B305" s="2" t="inlineStr">
        <is>
          <t>https://iswc2026.semanticweb.org/</t>
        </is>
      </c>
      <c r="C305" t="inlineStr">
        <is>
          <t>Bari,  Italy</t>
        </is>
      </c>
      <c r="D305" s="3" t="inlineStr">
        <is>
          <t>May 2, 2026</t>
        </is>
      </c>
      <c r="E305" s="3" t="inlineStr">
        <is>
          <t>May 7, 2026</t>
        </is>
      </c>
      <c r="F305" s="3" t="n">
        <v>46320</v>
      </c>
      <c r="G305" t="inlineStr">
        <is>
          <t>Semantic Web, knowledge graphs. Notification: 2026-06-24</t>
        </is>
      </c>
      <c r="H305" s="3">
        <f>IF(ISERROR(DATEVALUE(MID(D305, FIND(" ", D305)+1, FIND(",", D305)-FIND(" ", D305)-1) &amp; "-" &amp; LEFT(D305, FIND(" ", D305)-1) &amp; "-" &amp; RIGHT(D305, 4))), "20260101", TEXT(DATEVALUE(MID(D305, FIND(" ", D305)+1, FIND(",", D305)-FIND(" ", D305)-1) &amp; "-" &amp; LEFT(D305, FIND(" ", D305)-1) &amp; "-" &amp; RIGHT(D305, 4)), "YYYYMMDD"))</f>
        <v/>
      </c>
      <c r="I305" t="inlineStr">
        <is>
          <t>A</t>
        </is>
      </c>
    </row>
    <row r="306">
      <c r="A306" t="inlineStr">
        <is>
          <t>ICDM 2026 (IEEE International Conference on Data Mining)</t>
        </is>
      </c>
      <c r="B306" s="2" t="inlineStr">
        <is>
          <t>https://icdm2026.neu.edu.cn/</t>
        </is>
      </c>
      <c r="C306" t="inlineStr">
        <is>
          <t>Shenyang, China.</t>
        </is>
      </c>
      <c r="D306" s="3" t="inlineStr">
        <is>
          <t>May 30, 2026</t>
        </is>
      </c>
      <c r="E306" s="3" t="inlineStr">
        <is>
          <t>June 6, 2026</t>
        </is>
      </c>
      <c r="F306" s="3" t="n">
        <v>46338</v>
      </c>
      <c r="G306" t="inlineStr">
        <is>
          <t>Data mining. Notification: 2026-08-16</t>
        </is>
      </c>
      <c r="H306" s="3">
        <f>IF(ISERROR(DATEVALUE(MID(D306, FIND(" ", D306)+1, FIND(",", D306)-FIND(" ", D306)-1) &amp; "-" &amp; LEFT(D306, FIND(" ", D306)-1) &amp; "-" &amp; RIGHT(D306, 4))), "20260101", TEXT(DATEVALUE(MID(D306, FIND(" ", D306)+1, FIND(",", D306)-FIND(" ", D306)-1) &amp; "-" &amp; LEFT(D306, FIND(" ", D306)-1) &amp; "-" &amp; RIGHT(D306, 4)), "YYYYMMDD"))</f>
        <v/>
      </c>
      <c r="I306" t="inlineStr">
        <is>
          <t>A+</t>
        </is>
      </c>
    </row>
    <row r="307">
      <c r="A307" t="inlineStr">
        <is>
          <t>ACCV 2026 (Asian Conference on Computer Vision)</t>
        </is>
      </c>
      <c r="B307" s="2" t="inlineStr">
        <is>
          <t>https://accv2026.org/</t>
        </is>
      </c>
      <c r="C307" t="inlineStr">
        <is>
          <t>osaka, japan</t>
        </is>
      </c>
      <c r="D307" s="3" t="n">
        <v>46208</v>
      </c>
      <c r="E307" s="3" t="inlineStr">
        <is>
          <t>July 5, 2026</t>
        </is>
      </c>
      <c r="F307" s="3" t="n">
        <v>46370</v>
      </c>
      <c r="G307" t="inlineStr">
        <is>
          <t>Computer vision. Notification: 2026-09-20</t>
        </is>
      </c>
      <c r="H307" s="3">
        <f>IF(ISERROR(DATEVALUE(MID(D307, FIND(" ", D307)+1, FIND(",", D307)-FIND(" ", D307)-1) &amp; "-" &amp; LEFT(D307, FIND(" ", D307)-1) &amp; "-" &amp; RIGHT(D307, 4))), "20260101", TEXT(DATEVALUE(MID(D307, FIND(" ", D307)+1, FIND(",", D307)-FIND(" ", D307)-1) &amp; "-" &amp; LEFT(D307, FIND(" ", D307)-1) &amp; "-" &amp; RIGHT(D307, 4)), "YYYYMMDD"))</f>
        <v/>
      </c>
      <c r="I307" t="inlineStr">
        <is>
          <t>B</t>
        </is>
      </c>
    </row>
    <row r="308">
      <c r="A308" t="inlineStr">
        <is>
          <t>CAV 2026 (International Conference on Computer Aided Verification)</t>
        </is>
      </c>
      <c r="B308" s="2" t="inlineStr">
        <is>
          <t>https://conferences.i-cav.org/2026/</t>
        </is>
      </c>
      <c r="C308" t="inlineStr">
        <is>
          <t>Lisbon, Portugal</t>
        </is>
      </c>
      <c r="D308" s="3" t="inlineStr">
        <is>
          <t>January 28, 2026</t>
        </is>
      </c>
      <c r="E308" s="3" t="inlineStr">
        <is>
          <t>January 28, 2026</t>
        </is>
      </c>
      <c r="F308" s="3" t="n">
        <v>46229</v>
      </c>
      <c r="G308" t="inlineStr">
        <is>
          <t>Formal verification. Notification: 2026-04-17</t>
        </is>
      </c>
      <c r="H308" s="3">
        <f>IF(ISERROR(DATEVALUE(MID(D308, FIND(" ", D308)+1, FIND(",", D308)-FIND(" ", D308)-1) &amp; "-" &amp; LEFT(D308, FIND(" ", D308)-1) &amp; "-" &amp; RIGHT(D308, 4))), "20260101", TEXT(DATEVALUE(MID(D308, FIND(" ", D308)+1, FIND(",", D308)-FIND(" ", D308)-1) &amp; "-" &amp; LEFT(D308, FIND(" ", D308)-1) &amp; "-" &amp; RIGHT(D308, 4)), "YYYYMMDD"))</f>
        <v/>
      </c>
      <c r="I308" t="inlineStr">
        <is>
          <t>A+</t>
        </is>
      </c>
    </row>
    <row r="309">
      <c r="A309" t="inlineStr">
        <is>
          <t>ISSTA 2026 (International Symposium on Software Testing and Analysis)</t>
        </is>
      </c>
      <c r="B309" t="inlineStr">
        <is>
          <t>https://conf.researchr.org/home/issta-2026</t>
        </is>
      </c>
      <c r="C309" t="inlineStr">
        <is>
          <t>Oakland, CA, USA</t>
        </is>
      </c>
      <c r="D309" s="3" t="inlineStr">
        <is>
          <t>January 29, 2026</t>
        </is>
      </c>
      <c r="E309" s="3" t="inlineStr">
        <is>
          <t>January 29, 2026</t>
        </is>
      </c>
      <c r="F309" s="3" t="n">
        <v>46298</v>
      </c>
      <c r="G309" t="inlineStr">
        <is>
          <t>Software testing. Notification: 2026-04-09</t>
        </is>
      </c>
      <c r="H309" s="3">
        <f>IF(ISERROR(DATEVALUE(MID(D309, FIND(" ", D309)+1, FIND(",", D309)-FIND(" ", D309)-1) &amp; "-" &amp; LEFT(D309, FIND(" ", D309)-1) &amp; "-" &amp; RIGHT(D309, 4))), "20260101", TEXT(DATEVALUE(MID(D309, FIND(" ", D309)+1, FIND(",", D309)-FIND(" ", D309)-1) &amp; "-" &amp; LEFT(D309, FIND(" ", D309)-1) &amp; "-" &amp; RIGHT(D309, 4)), "YYYYMMDD"))</f>
        <v/>
      </c>
      <c r="I309" t="inlineStr">
        <is>
          <t>A</t>
        </is>
      </c>
    </row>
    <row r="310">
      <c r="A310" t="inlineStr">
        <is>
          <t>ICFP 2026 (International Conference on Functional Programming)</t>
        </is>
      </c>
      <c r="B310" t="inlineStr">
        <is>
          <t>https://conf.researchr.org/home/icfp-2026</t>
        </is>
      </c>
      <c r="C310" t="inlineStr">
        <is>
          <t>Indianapolis, IN, USA</t>
        </is>
      </c>
      <c r="D310" s="3" t="inlineStr">
        <is>
          <t>February 19, 2026</t>
        </is>
      </c>
      <c r="E310" s="3" t="inlineStr">
        <is>
          <t>February 19, 2026</t>
        </is>
      </c>
      <c r="F310" s="3" t="n">
        <v>46258</v>
      </c>
      <c r="G310" t="inlineStr">
        <is>
          <t>Programming languages. Notification: 2026-05-14</t>
        </is>
      </c>
      <c r="H310" s="3">
        <f>IF(ISERROR(DATEVALUE(MID(D310, FIND(" ", D310)+1, FIND(",", D310)-FIND(" ", D310)-1) &amp; "-" &amp; LEFT(D310, FIND(" ", D310)-1) &amp; "-" &amp; RIGHT(D310, 4))), "20260101", TEXT(DATEVALUE(MID(D310, FIND(" ", D310)+1, FIND(",", D310)-FIND(" ", D310)-1) &amp; "-" &amp; LEFT(D310, FIND(" ", D310)-1) &amp; "-" &amp; RIGHT(D310, 4)), "YYYYMMDD"))</f>
        <v/>
      </c>
      <c r="I310" t="inlineStr">
        <is>
          <t>A+</t>
        </is>
      </c>
    </row>
    <row r="311">
      <c r="A311" t="inlineStr">
        <is>
          <t>OOPSLA 2026 (Object-Oriented Programming Systems, Languages, and Applications)</t>
        </is>
      </c>
      <c r="B311" t="inlineStr">
        <is>
          <t>https://2026.splashcon.org/track/oopsla-2026</t>
        </is>
      </c>
      <c r="C311" t="inlineStr">
        <is>
          <t>Oakland, CA, USA</t>
        </is>
      </c>
      <c r="D311" s="3" t="inlineStr">
        <is>
          <t>March 17, 2026</t>
        </is>
      </c>
      <c r="E311" s="3" t="inlineStr">
        <is>
          <t>March 17, 2026</t>
        </is>
      </c>
      <c r="F311" s="3" t="n">
        <v>46298</v>
      </c>
      <c r="G311" t="inlineStr">
        <is>
          <t>Programming languages. Notification: 2026-06-10</t>
        </is>
      </c>
      <c r="H311" s="3">
        <f>IF(ISERROR(DATEVALUE(MID(D311, FIND(" ", D311)+1, FIND(",", D311)-FIND(" ", D311)-1) &amp; "-" &amp; LEFT(D311, FIND(" ", D311)-1) &amp; "-" &amp; RIGHT(D311, 4))), "20260101", TEXT(DATEVALUE(MID(D311, FIND(" ", D311)+1, FIND(",", D311)-FIND(" ", D311)-1) &amp; "-" &amp; LEFT(D311, FIND(" ", D311)-1) &amp; "-" &amp; RIGHT(D311, 4)), "YYYYMMDD"))</f>
        <v/>
      </c>
      <c r="I311" t="inlineStr">
        <is>
          <t>A+</t>
        </is>
      </c>
    </row>
    <row r="312">
      <c r="A312" t="inlineStr">
        <is>
          <t>SOSP 2026 (ACM Symposium on Operating Systems Principles)</t>
        </is>
      </c>
      <c r="B312" t="inlineStr">
        <is>
          <t>https://sosp2026.org/</t>
        </is>
      </c>
      <c r="C312" t="inlineStr">
        <is>
          <t>Prague, Czech Republic</t>
        </is>
      </c>
      <c r="D312" s="3" t="inlineStr">
        <is>
          <t>March 26, 2026</t>
        </is>
      </c>
      <c r="E312" s="3" t="inlineStr">
        <is>
          <t>April 1, 2026</t>
        </is>
      </c>
      <c r="F312" s="3" t="n">
        <v>46294</v>
      </c>
      <c r="G312" t="inlineStr">
        <is>
          <t>Operating systems. Notification: 2026-07-03</t>
        </is>
      </c>
      <c r="H312" s="3">
        <f>IF(ISERROR(DATEVALUE(MID(D312, FIND(" ", D312)+1, FIND(",", D312)-FIND(" ", D312)-1) &amp; "-" &amp; LEFT(D312, FIND(" ", D312)-1) &amp; "-" &amp; RIGHT(D312, 4))), "20260101", TEXT(DATEVALUE(MID(D312, FIND(" ", D312)+1, FIND(",", D312)-FIND(" ", D312)-1) &amp; "-" &amp; LEFT(D312, FIND(" ", D312)-1) &amp; "-" &amp; RIGHT(D312, 4)), "YYYYMMDD"))</f>
        <v/>
      </c>
      <c r="I312" t="inlineStr">
        <is>
          <t>A+</t>
        </is>
      </c>
    </row>
    <row r="313">
      <c r="A313" t="inlineStr">
        <is>
          <t>HPDC 2026 (ACM Symposium on High-Performance Parallel and Distributed Computing)</t>
        </is>
      </c>
      <c r="B313" t="inlineStr">
        <is>
          <t>https://www.hpdc.org/2026/</t>
        </is>
      </c>
      <c r="C313" t="inlineStr">
        <is>
          <t>Cleveland, OH, USA</t>
        </is>
      </c>
      <c r="D313" s="3" t="inlineStr">
        <is>
          <t>February 5, 2026</t>
        </is>
      </c>
      <c r="E313" s="3" t="inlineStr">
        <is>
          <t>February 5, 2026</t>
        </is>
      </c>
      <c r="F313" s="3" t="n">
        <v>46216</v>
      </c>
      <c r="G313" t="inlineStr">
        <is>
          <t>Distributed systems, HPC</t>
        </is>
      </c>
      <c r="H313" s="3">
        <f>IF(ISERROR(DATEVALUE(MID(D313, FIND(" ", D313)+1, FIND(",", D313)-FIND(" ", D313)-1) &amp; "-" &amp; LEFT(D313, FIND(" ", D313)-1) &amp; "-" &amp; RIGHT(D313, 4))), "20260101", TEXT(DATEVALUE(MID(D313, FIND(" ", D313)+1, FIND(",", D313)-FIND(" ", D313)-1) &amp; "-" &amp; LEFT(D313, FIND(" ", D313)-1) &amp; "-" &amp; RIGHT(D313, 4)), "YYYYMMDD"))</f>
        <v/>
      </c>
      <c r="I313" t="inlineStr">
        <is>
          <t>A</t>
        </is>
      </c>
    </row>
    <row r="314">
      <c r="A314" t="inlineStr">
        <is>
          <t>ICS 2026 (ACM International Conference on Supercomputing)</t>
        </is>
      </c>
      <c r="B314" t="inlineStr">
        <is>
          <t>https://ics2026.acm.org/</t>
        </is>
      </c>
      <c r="C314" t="inlineStr">
        <is>
          <t>Belfast, Northern Ireland, UK</t>
        </is>
      </c>
      <c r="D314" s="3" t="inlineStr">
        <is>
          <t>February 9, 2026</t>
        </is>
      </c>
      <c r="E314" s="3" t="inlineStr">
        <is>
          <t>February 9, 2026</t>
        </is>
      </c>
      <c r="F314" s="3" t="n">
        <v>46209</v>
      </c>
      <c r="G314" t="inlineStr">
        <is>
          <t>High-performance computing</t>
        </is>
      </c>
      <c r="H314" s="3">
        <f>IF(ISERROR(DATEVALUE(MID(D314, FIND(" ", D314)+1, FIND(",", D314)-FIND(" ", D314)-1) &amp; "-" &amp; LEFT(D314, FIND(" ", D314)-1) &amp; "-" &amp; RIGHT(D314, 4))), "20260101", TEXT(DATEVALUE(MID(D314, FIND(" ", D314)+1, FIND(",", D314)-FIND(" ", D314)-1) &amp; "-" &amp; LEFT(D314, FIND(" ", D314)-1) &amp; "-" &amp; RIGHT(D314, 4)), "YYYYMMDD"))</f>
        <v/>
      </c>
      <c r="I314" t="inlineStr">
        <is>
          <t>A</t>
        </is>
      </c>
    </row>
    <row r="315">
      <c r="A315" t="inlineStr">
        <is>
          <t>COMPSAC 2026 (IEEE Computer Software and Applications Conference)</t>
        </is>
      </c>
      <c r="B315" t="inlineStr">
        <is>
          <t>https://ieeecompsac.computer.org/2026/</t>
        </is>
      </c>
      <c r="C315" t="inlineStr">
        <is>
          <t>Madrid, Spain.</t>
        </is>
      </c>
      <c r="D315" s="3" t="inlineStr">
        <is>
          <t>Jan 31, 2026.</t>
        </is>
      </c>
      <c r="E315" s="3" t="inlineStr">
        <is>
          <t>January 31, 2026</t>
        </is>
      </c>
      <c r="F315" s="3" t="n">
        <v>46210</v>
      </c>
      <c r="G315" t="inlineStr">
        <is>
          <t>Software &amp; applications. Notification: 2026-04-01</t>
        </is>
      </c>
      <c r="H315" s="3">
        <f>IF(ISERROR(DATEVALUE(MID(D315, FIND(" ", D315)+1, FIND(",", D315)-FIND(" ", D315)-1) &amp; "-" &amp; LEFT(D315, FIND(" ", D315)-1) &amp; "-" &amp; RIGHT(D315, 4))), "20260101", TEXT(DATEVALUE(MID(D315, FIND(" ", D315)+1, FIND(",", D315)-FIND(" ", D315)-1) &amp; "-" &amp; LEFT(D315, FIND(" ", D315)-1) &amp; "-" &amp; RIGHT(D315, 4)), "YYYYMMDD"))</f>
        <v/>
      </c>
      <c r="I315" t="inlineStr">
        <is>
          <t>B</t>
        </is>
      </c>
    </row>
    <row r="316">
      <c r="A316" t="inlineStr">
        <is>
          <t>ISMB 2026 (Intelligent Systems for Molecular Biology)</t>
        </is>
      </c>
      <c r="B316" t="inlineStr">
        <is>
          <t>https://www.iscb.org/ismb2026</t>
        </is>
      </c>
      <c r="C316" t="inlineStr">
        <is>
          <t>Washington, DC, USA</t>
        </is>
      </c>
      <c r="D316" s="3" t="inlineStr">
        <is>
          <t>January 20, 2026</t>
        </is>
      </c>
      <c r="E316" s="3" t="inlineStr">
        <is>
          <t>January 20, 2026</t>
        </is>
      </c>
      <c r="F316" s="3" t="n">
        <v>46215</v>
      </c>
      <c r="G316" t="inlineStr">
        <is>
          <t>Computational biology &amp; bioinformatics</t>
        </is>
      </c>
      <c r="H316" s="3">
        <f>IF(ISERROR(DATEVALUE(MID(D316, FIND(" ", D316)+1, FIND(",", D316)-FIND(" ", D316)-1) &amp; "-" &amp; LEFT(D316, FIND(" ", D316)-1) &amp; "-" &amp; RIGHT(D316, 4))), "20260101", TEXT(DATEVALUE(MID(D316, FIND(" ", D316)+1, FIND(",", D316)-FIND(" ", D316)-1) &amp; "-" &amp; LEFT(D316, FIND(" ", D316)-1) &amp; "-" &amp; RIGHT(D316, 4)), "YYYYMMDD"))</f>
        <v/>
      </c>
      <c r="I316" t="inlineStr">
        <is>
          <t>A</t>
        </is>
      </c>
    </row>
    <row r="317">
      <c r="A317" t="inlineStr">
        <is>
          <t>LICS 2026 (Logic in Computer Science)</t>
        </is>
      </c>
      <c r="B317" t="inlineStr">
        <is>
          <t>https://lics.siglog.org/lics26/</t>
        </is>
      </c>
      <c r="C317" t="inlineStr">
        <is>
          <t>Lisbon, Portugal</t>
        </is>
      </c>
      <c r="D317" s="3" t="n">
        <v>46037</v>
      </c>
      <c r="E317" s="3" t="n">
        <v>46044</v>
      </c>
      <c r="F317" s="3" t="n">
        <v>46223</v>
      </c>
      <c r="G317" t="inlineStr">
        <is>
          <t>Logic, verification</t>
        </is>
      </c>
      <c r="H317" s="3">
        <f>IF(ISERROR(DATEVALUE(MID(D317, FIND(" ", D317)+1, FIND(",", D317)-FIND(" ", D317)-1) &amp; "-" &amp; LEFT(D317, FIND(" ", D317)-1) &amp; "-" &amp; RIGHT(D317, 4))), "20260101", TEXT(DATEVALUE(MID(D317, FIND(" ", D317)+1, FIND(",", D317)-FIND(" ", D317)-1) &amp; "-" &amp; LEFT(D317, FIND(" ", D317)-1) &amp; "-" &amp; RIGHT(D317, 4)), "YYYYMMDD"))</f>
        <v/>
      </c>
      <c r="I317" t="inlineStr">
        <is>
          <t>A+</t>
        </is>
      </c>
    </row>
    <row r="318">
      <c r="A318" t="inlineStr">
        <is>
          <t>RSS 2026 (Robotics: Science and Systems)</t>
        </is>
      </c>
      <c r="B318" t="inlineStr">
        <is>
          <t>https://roboticsconference.org/</t>
        </is>
      </c>
      <c r="C318" t="inlineStr">
        <is>
          <t>Sydney, Australia</t>
        </is>
      </c>
      <c r="D318" s="3" t="n">
        <v>46045</v>
      </c>
      <c r="E318" s="3" t="n">
        <v>46052</v>
      </c>
      <c r="F318" s="3" t="n">
        <v>46216</v>
      </c>
      <c r="G318" t="inlineStr">
        <is>
          <t>Robotics</t>
        </is>
      </c>
      <c r="H318" s="3">
        <f>IF(ISERROR(DATEVALUE(MID(D318, FIND(" ", D318)+1, FIND(",", D318)-FIND(" ", D318)-1) &amp; "-" &amp; LEFT(D318, FIND(" ", D318)-1) &amp; "-" &amp; RIGHT(D318, 4))), "20260101", TEXT(DATEVALUE(MID(D318, FIND(" ", D318)+1, FIND(",", D318)-FIND(" ", D318)-1) &amp; "-" &amp; LEFT(D318, FIND(" ", D318)-1) &amp; "-" &amp; RIGHT(D318, 4)), "YYYYMMDD"))</f>
        <v/>
      </c>
      <c r="I318" t="inlineStr">
        <is>
          <t>A+</t>
        </is>
      </c>
    </row>
    <row r="319">
      <c r="A319" t="inlineStr">
        <is>
          <t>ICMR 2026 (ACM International Conference on Multimedia Retrieval)</t>
        </is>
      </c>
      <c r="B319" s="2" t="inlineStr">
        <is>
          <t>https://icmr2026.org/</t>
        </is>
      </c>
      <c r="C319" t="inlineStr">
        <is>
          <t>Amsterdam, Netherlands</t>
        </is>
      </c>
      <c r="D319" s="3" t="inlineStr">
        <is>
          <t>February 6, 2026</t>
        </is>
      </c>
      <c r="E319" s="3" t="inlineStr">
        <is>
          <t>February 6, 2026</t>
        </is>
      </c>
      <c r="F319" s="3" t="n">
        <v>46189</v>
      </c>
      <c r="G319" t="inlineStr">
        <is>
          <t>Multimedia retrieval</t>
        </is>
      </c>
      <c r="H319" s="3">
        <f>IF(ISERROR(DATEVALUE(MID(D319, FIND(" ", D319)+1, FIND(",", D319)-FIND(" ", D319)-1) &amp; "-" &amp; LEFT(D319, FIND(" ", D319)-1) &amp; "-" &amp; RIGHT(D319, 4))), "20260101", TEXT(DATEVALUE(MID(D319, FIND(" ", D319)+1, FIND(",", D319)-FIND(" ", D319)-1) &amp; "-" &amp; LEFT(D319, FIND(" ", D319)-1) &amp; "-" &amp; RIGHT(D319, 4)), "YYYYMMDD"))</f>
        <v/>
      </c>
      <c r="I319" t="inlineStr">
        <is>
          <t>C</t>
        </is>
      </c>
    </row>
    <row r="320">
      <c r="A320" t="inlineStr">
        <is>
          <t>MIPR 2026 (IEEE International Conference on Multimedia Information Processing and Retrieval)</t>
        </is>
      </c>
      <c r="B320" s="2" t="inlineStr">
        <is>
          <t>https://mipr2026.org/</t>
        </is>
      </c>
      <c r="C320" t="inlineStr">
        <is>
          <t>Bangkok, Thailand</t>
        </is>
      </c>
      <c r="D320" s="3" t="inlineStr">
        <is>
          <t>March 15, 2026</t>
        </is>
      </c>
      <c r="E320" s="3" t="inlineStr">
        <is>
          <t>March 15, 2026</t>
        </is>
      </c>
      <c r="F320" s="3" t="n">
        <v>46243</v>
      </c>
      <c r="G320" t="inlineStr">
        <is>
          <t>Multimedia retrieval. Notification: 2026-05-20</t>
        </is>
      </c>
      <c r="H320" s="3">
        <f>IF(ISERROR(DATEVALUE(MID(D320, FIND(" ", D320)+1, FIND(",", D320)-FIND(" ", D320)-1) &amp; "-" &amp; LEFT(D320, FIND(" ", D320)-1) &amp; "-" &amp; RIGHT(D320, 4))), "20260101", TEXT(DATEVALUE(MID(D320, FIND(" ", D320)+1, FIND(",", D320)-FIND(" ", D320)-1) &amp; "-" &amp; LEFT(D320, FIND(" ", D320)-1) &amp; "-" &amp; RIGHT(D320, 4)), "YYYYMMDD"))</f>
        <v/>
      </c>
      <c r="I320" t="inlineStr">
        <is>
          <t>C</t>
        </is>
      </c>
    </row>
    <row r="321">
      <c r="A321" t="inlineStr">
        <is>
          <t>ICCBR 2026 (International Conference on Case-Based Reasoning)</t>
        </is>
      </c>
      <c r="B321" t="inlineStr">
        <is>
          <t>https://www.iccbr.org/</t>
        </is>
      </c>
      <c r="C321" t="inlineStr">
        <is>
          <t>Bremen, Germany.</t>
        </is>
      </c>
      <c r="D321" s="3" t="n">
        <v>46101</v>
      </c>
      <c r="E321" s="3" t="inlineStr">
        <is>
          <t>March 20, 2026</t>
        </is>
      </c>
      <c r="F321" s="3" t="n">
        <v>46247</v>
      </c>
      <c r="G321" t="inlineStr">
        <is>
          <t>Case-based reasoning. Notification: 2026-04-28</t>
        </is>
      </c>
      <c r="H321" s="3">
        <f>IF(ISERROR(DATEVALUE(MID(D321, FIND(" ", D321)+1, FIND(",", D321)-FIND(" ", D321)-1) &amp; "-" &amp; LEFT(D321, FIND(" ", D321)-1) &amp; "-" &amp; RIGHT(D321, 4))), "20260101", TEXT(DATEVALUE(MID(D321, FIND(" ", D321)+1, FIND(",", D321)-FIND(" ", D321)-1) &amp; "-" &amp; LEFT(D321, FIND(" ", D321)-1) &amp; "-" &amp; RIGHT(D321, 4)), "YYYYMMDD"))</f>
        <v/>
      </c>
      <c r="I321" t="inlineStr">
        <is>
          <t>B</t>
        </is>
      </c>
    </row>
    <row r="322">
      <c r="A322" t="inlineStr">
        <is>
          <t>ASONAM 2026 (Advances in Social Networks Analysis and Mining)</t>
        </is>
      </c>
      <c r="B322" t="inlineStr">
        <is>
          <t>https://asonam.cpsc.ucalgary.ca/</t>
        </is>
      </c>
      <c r="C322" t="inlineStr">
        <is>
          <t>Rabat, Morocco.</t>
        </is>
      </c>
      <c r="D322" s="3" t="n">
        <v>46138</v>
      </c>
      <c r="E322" s="3" t="inlineStr">
        <is>
          <t>April 26, 2026</t>
        </is>
      </c>
      <c r="F322" s="3" t="n">
        <v>46258</v>
      </c>
      <c r="G322" t="inlineStr">
        <is>
          <t>Social network analysis. Notification: 2026-06-27</t>
        </is>
      </c>
      <c r="H322" s="3">
        <f>IF(ISERROR(DATEVALUE(MID(D322, FIND(" ", D322)+1, FIND(",", D322)-FIND(" ", D322)-1) &amp; "-" &amp; LEFT(D322, FIND(" ", D322)-1) &amp; "-" &amp; RIGHT(D322, 4))), "20260101", TEXT(DATEVALUE(MID(D322, FIND(" ", D322)+1, FIND(",", D322)-FIND(" ", D322)-1) &amp; "-" &amp; LEFT(D322, FIND(" ", D322)-1) &amp; "-" &amp; RIGHT(D322, 4)), "YYYYMMDD"))</f>
        <v/>
      </c>
      <c r="I322" t="inlineStr">
        <is>
          <t>B</t>
        </is>
      </c>
    </row>
    <row r="323">
      <c r="A323" t="inlineStr">
        <is>
          <t>SLT 2026 (IEEE Spoken Language Technology Workshop)</t>
        </is>
      </c>
      <c r="B323" t="inlineStr">
        <is>
          <t>https://slt2026.org/</t>
        </is>
      </c>
      <c r="C323" t="inlineStr">
        <is>
          <t>Palermo, Italy.</t>
        </is>
      </c>
      <c r="D323" s="3" t="inlineStr">
        <is>
          <t>May 15, 2026</t>
        </is>
      </c>
      <c r="E323" s="12" t="inlineStr">
        <is>
          <t>May 15, 2026</t>
        </is>
      </c>
      <c r="F323" s="3" t="n">
        <v>46369</v>
      </c>
      <c r="G323" t="inlineStr">
        <is>
          <t>Speech &amp; language technology</t>
        </is>
      </c>
      <c r="H323" s="3">
        <f>IF(ISERROR(DATEVALUE(MID(D323, FIND(" ", D323)+1, FIND(",", D323)-FIND(" ", D323)-1) &amp; "-" &amp; LEFT(D323, FIND(" ", D323)-1) &amp; "-" &amp; RIGHT(D323, 4))), "20260101", TEXT(DATEVALUE(MID(D323, FIND(" ", D323)+1, FIND(",", D323)-FIND(" ", D323)-1) &amp; "-" &amp; LEFT(D323, FIND(" ", D323)-1) &amp; "-" &amp; RIGHT(D323, 4)), "YYYYMMDD"))</f>
        <v/>
      </c>
      <c r="I323" t="inlineStr">
        <is>
          <t>B</t>
        </is>
      </c>
    </row>
    <row r="324">
      <c r="A324" t="inlineStr">
        <is>
          <t>NeSy 2026 ( Neuro Symbolic workshop</t>
        </is>
      </c>
      <c r="B324" t="inlineStr">
        <is>
          <t>https://2026.nesyconf.org/call-for-papers/</t>
        </is>
      </c>
      <c r="C324" t="inlineStr">
        <is>
          <t>Lisbon, Portugal</t>
        </is>
      </c>
      <c r="D324" s="6" t="n">
        <v>46077</v>
      </c>
      <c r="E324" s="6" t="n">
        <v>46084</v>
      </c>
      <c r="F324" s="7" t="n">
        <v>46266</v>
      </c>
      <c r="G324" t="inlineStr">
        <is>
          <t xml:space="preserve">Neuro Symbolic AI </t>
        </is>
      </c>
      <c r="H324" s="3">
        <f>IF(ISERROR(DATEVALUE(MID(D324, FIND(" ", D324)+1, FIND(",", D324)-FIND(" ", D324)-1) &amp; "-" &amp; LEFT(D324, FIND(" ", D324)-1) &amp; "-" &amp; RIGHT(D324, 4))), "20260101", TEXT(DATEVALUE(MID(D324, FIND(" ", D324)+1, FIND(",", D324)-FIND(" ", D324)-1) &amp; "-" &amp; LEFT(D324, FIND(" ", D324)-1) &amp; "-" &amp; RIGHT(D324, 4)), "YYYYMMDD"))</f>
        <v/>
      </c>
      <c r="I324" t="inlineStr">
        <is>
          <t>B</t>
        </is>
      </c>
    </row>
    <row r="325">
      <c r="A325" t="inlineStr">
        <is>
          <t>NeuS 2026</t>
        </is>
      </c>
      <c r="B325" t="inlineStr">
        <is>
          <t>https://sites.google.com/usc.edu/neus2026/home</t>
        </is>
      </c>
      <c r="C325" t="inlineStr">
        <is>
          <t>Los Angeles, California, USA</t>
        </is>
      </c>
      <c r="D325" s="6" t="n">
        <v>46061</v>
      </c>
      <c r="E325" s="6" t="n">
        <v>46061</v>
      </c>
      <c r="F325" s="7" t="n">
        <v>46189</v>
      </c>
      <c r="G325" t="inlineStr">
        <is>
          <t xml:space="preserve">Neuro Symbolic AI </t>
        </is>
      </c>
      <c r="H325" s="3">
        <f>IF(ISERROR(DATEVALUE(MID(D325, FIND(" ", D325)+1, FIND(",", D325)-FIND(" ", D325)-1) &amp; "-" &amp; LEFT(D325, FIND(" ", D325)-1) &amp; "-" &amp; RIGHT(D325, 4))), "20260101", TEXT(DATEVALUE(MID(D325, FIND(" ", D325)+1, FIND(",", D325)-FIND(" ", D325)-1) &amp; "-" &amp; LEFT(D325, FIND(" ", D325)-1) &amp; "-" &amp; RIGHT(D325, 4)), "YYYYMMDD"))</f>
        <v/>
      </c>
      <c r="I325" t="inlineStr">
        <is>
          <t>B</t>
        </is>
      </c>
    </row>
    <row r="326">
      <c r="A326" t="inlineStr">
        <is>
          <t>AAAI-27 (AAAI Conference on Artificial Intelligence)</t>
        </is>
      </c>
      <c r="B326" t="inlineStr">
        <is>
          <t>https://aaai.org/conference/aaai/aaai-27/</t>
        </is>
      </c>
      <c r="C326" t="inlineStr">
        <is>
          <t>Montréal, Canada</t>
        </is>
      </c>
      <c r="D326" t="inlineStr">
        <is>
          <t>July 21, 2026</t>
        </is>
      </c>
      <c r="E326" t="inlineStr">
        <is>
          <t>July 28, 2026</t>
        </is>
      </c>
      <c r="F326" t="inlineStr">
        <is>
          <t>February 16, 2027</t>
        </is>
      </c>
      <c r="G326" t="inlineStr">
        <is>
          <t>Artificial intelligence; machine learning; NLP; special tracks on AI Alignment &amp; AI for Social Impact</t>
        </is>
      </c>
      <c r="H326">
        <f>IF(ISERROR(DATEVALUE(MID(D326, FIND(" ", D326)+1, FIND(",", D326)-FIND(" ", D326)-1) &amp; "-" &amp; LEFT(D326, FIND(" ", D326)-1) &amp; "-" &amp; RIGHT(D326, 4))), "20260101", TEXT(DATEVALUE(MID(D326, FIND(" ", D326)+1, FIND(",", D326)-FIND(" ", D326)-1) &amp; "-" &amp; LEFT(D326, FIND(" ", D326)-1) &amp; "-" &amp; RIGHT(D326, 4)), "YYYYMMDD"))</f>
        <v/>
      </c>
      <c r="I326" t="inlineStr">
        <is>
          <t>CORE A* / CCF A</t>
        </is>
      </c>
    </row>
    <row r="327">
      <c r="A327" t="inlineStr">
        <is>
          <t>INFOCOM 2027 (IEEE International Conference on Computer Communications)</t>
        </is>
      </c>
      <c r="B327" t="inlineStr">
        <is>
          <t>https://www.ieee-infocom.org/</t>
        </is>
      </c>
      <c r="C327" t="inlineStr">
        <is>
          <t>Honolulu, HI, USA</t>
        </is>
      </c>
      <c r="D327" t="inlineStr">
        <is>
          <t>July 24, 2026</t>
        </is>
      </c>
      <c r="E327" t="inlineStr">
        <is>
          <t>July 31, 2026</t>
        </is>
      </c>
      <c r="F327" t="inlineStr">
        <is>
          <t>May 24, 2027</t>
        </is>
      </c>
      <c r="G327" t="inlineStr">
        <is>
          <t>Computer networking; communications</t>
        </is>
      </c>
      <c r="H327">
        <f>IF(ISERROR(DATEVALUE(MID(D327, FIND(" ", D327)+1, FIND(",", D327)-FIND(" ", D327)-1) &amp; "-" &amp; LEFT(D327, FIND(" ", D327)-1) &amp; "-" &amp; RIGHT(D327, 4))), "20260101", TEXT(DATEVALUE(MID(D327, FIND(" ", D327)+1, FIND(",", D327)-FIND(" ", D327)-1) &amp; "-" &amp; LEFT(D327, FIND(" ", D327)-1) &amp; "-" &amp; RIGHT(D327, 4)), "YYYYMMDD"))</f>
        <v/>
      </c>
      <c r="I327" t="inlineStr">
        <is>
          <t>CORE A*</t>
        </is>
      </c>
    </row>
    <row r="328">
      <c r="A328" t="inlineStr">
        <is>
          <t>SOSA 2027 (SIAM Symposium on Simplicity in Algorithms)</t>
        </is>
      </c>
      <c r="B328" t="inlineStr">
        <is>
          <t>https://www.siam.org/conferences-events/siam-conferences/sosa27/</t>
        </is>
      </c>
      <c r="C328" t="inlineStr">
        <is>
          <t>Philadelphia, PA, USA</t>
        </is>
      </c>
      <c r="D328" t="inlineStr">
        <is>
          <t>TBD</t>
        </is>
      </c>
      <c r="E328" t="inlineStr">
        <is>
          <t>August 6, 2026</t>
        </is>
      </c>
      <c r="F328" t="inlineStr">
        <is>
          <t>January 25, 2027</t>
        </is>
      </c>
      <c r="G328" t="inlineStr">
        <is>
          <t>Algorithms (simplicity-focused)</t>
        </is>
      </c>
      <c r="H328">
        <f>IF(ISERROR(DATEVALUE(MID(D328, FIND(" ", D328)+1, FIND(",", D328)-FIND(" ", D328)-1) &amp; "-" &amp; LEFT(D328, FIND(" ", D328)-1) &amp; "-" &amp; RIGHT(D328, 4))), "20260101", TEXT(DATEVALUE(MID(D328, FIND(" ", D328)+1, FIND(",", D328)-FIND(" ", D328)-1) &amp; "-" &amp; LEFT(D328, FIND(" ", D328)-1) &amp; "-" &amp; RIGHT(D328, 4)), "YYYYMMDD"))</f>
        <v/>
      </c>
      <c r="I328" t="inlineStr">
        <is>
          <t>Unranked (co-located with SODA)</t>
        </is>
      </c>
    </row>
    <row r="329">
      <c r="A329" t="inlineStr">
        <is>
          <t>USENIX Security 2027 - Cycle 1 (USENIX Security Symposium)</t>
        </is>
      </c>
      <c r="B329" t="inlineStr">
        <is>
          <t>https://www.usenix.org/conference/usenixsecurity27/call-for-papers</t>
        </is>
      </c>
      <c r="C329" t="inlineStr">
        <is>
          <t>Denver, CO, USA</t>
        </is>
      </c>
      <c r="D329" t="inlineStr">
        <is>
          <t>August 18, 2026</t>
        </is>
      </c>
      <c r="E329" t="inlineStr">
        <is>
          <t>August 25, 2026</t>
        </is>
      </c>
      <c r="F329" t="inlineStr">
        <is>
          <t>August 11, 2027</t>
        </is>
      </c>
      <c r="G329" t="inlineStr">
        <is>
          <t>Computer security; privacy</t>
        </is>
      </c>
      <c r="H329">
        <f>IF(ISERROR(DATEVALUE(MID(D329, FIND(" ", D329)+1, FIND(",", D329)-FIND(" ", D329)-1) &amp; "-" &amp; LEFT(D329, FIND(" ", D329)-1) &amp; "-" &amp; RIGHT(D329, 4))), "20260101", TEXT(DATEVALUE(MID(D329, FIND(" ", D329)+1, FIND(",", D329)-FIND(" ", D329)-1) &amp; "-" &amp; LEFT(D329, FIND(" ", D329)-1) &amp; "-" &amp; RIGHT(D329, 4)), "YYYYMMDD"))</f>
        <v/>
      </c>
      <c r="I329" t="inlineStr">
        <is>
          <t>CORE A*</t>
        </is>
      </c>
    </row>
    <row r="330">
      <c r="A330" t="inlineStr">
        <is>
          <t>SPAA 2027 - Cycle 1 (ACM Symposium on Parallelism in Algorithms and Architectures)</t>
        </is>
      </c>
      <c r="B330" t="inlineStr">
        <is>
          <t>https://spaa.acm.org</t>
        </is>
      </c>
      <c r="C330" t="inlineStr">
        <is>
          <t>Atlanta, GA, USA (part of FCRC 2027)</t>
        </is>
      </c>
      <c r="D330" t="inlineStr">
        <is>
          <t>August 18, 2026</t>
        </is>
      </c>
      <c r="E330" t="inlineStr">
        <is>
          <t>August 25, 2026</t>
        </is>
      </c>
      <c r="F330" t="inlineStr">
        <is>
          <t>June 5, 2027</t>
        </is>
      </c>
      <c r="G330" t="inlineStr">
        <is>
          <t>Parallel algorithms &amp; architectures</t>
        </is>
      </c>
      <c r="H330">
        <f>IF(ISERROR(DATEVALUE(MID(D330, FIND(" ", D330)+1, FIND(",", D330)-FIND(" ", D330)-1) &amp; "-" &amp; LEFT(D330, FIND(" ", D330)-1) &amp; "-" &amp; RIGHT(D330, 4))), "20260101", TEXT(DATEVALUE(MID(D330, FIND(" ", D330)+1, FIND(",", D330)-FIND(" ", D330)-1) &amp; "-" &amp; LEFT(D330, FIND(" ", D330)-1) &amp; "-" &amp; RIGHT(D330, 4)), "YYYYMMDD"))</f>
        <v/>
      </c>
      <c r="I330" t="inlineStr">
        <is>
          <t>CORE A</t>
        </is>
      </c>
    </row>
    <row r="331">
      <c r="A331" t="inlineStr">
        <is>
          <t>NDSS 2027 - Summer Cycle (Network and Distributed System Security Symposium)</t>
        </is>
      </c>
      <c r="B331" t="inlineStr">
        <is>
          <t>https://www.ndss-symposium.org/ndss2027/submissions/call-for-papers/</t>
        </is>
      </c>
      <c r="C331" t="inlineStr">
        <is>
          <t>San Diego, CA, USA</t>
        </is>
      </c>
      <c r="D331" t="inlineStr">
        <is>
          <t>TBD</t>
        </is>
      </c>
      <c r="E331" t="inlineStr">
        <is>
          <t>August 19, 2026</t>
        </is>
      </c>
      <c r="F331" t="inlineStr">
        <is>
          <t>February 23, 2027</t>
        </is>
      </c>
      <c r="G331" t="inlineStr">
        <is>
          <t>Network &amp; distributed-system security</t>
        </is>
      </c>
      <c r="H331">
        <f>IF(ISERROR(DATEVALUE(MID(D331, FIND(" ", D331)+1, FIND(",", D331)-FIND(" ", D331)-1) &amp; "-" &amp; LEFT(D331, FIND(" ", D331)-1) &amp; "-" &amp; RIGHT(D331, 4))), "20260101", TEXT(DATEVALUE(MID(D331, FIND(" ", D331)+1, FIND(",", D331)-FIND(" ", D331)-1) &amp; "-" &amp; LEFT(D331, FIND(" ", D331)-1) &amp; "-" &amp; RIGHT(D331, 4)), "YYYYMMDD"))</f>
        <v/>
      </c>
      <c r="I331" t="inlineStr">
        <is>
          <t>CORE A*</t>
        </is>
      </c>
    </row>
    <row r="332">
      <c r="A332" t="inlineStr">
        <is>
          <t>ASIACCS 2027 - Round 1 (ACM Asia Conference on Computer and Communications Security)</t>
        </is>
      </c>
      <c r="B332" t="inlineStr">
        <is>
          <t>https://asiaccs2027.cityu.edu.mo/</t>
        </is>
      </c>
      <c r="C332" t="inlineStr">
        <is>
          <t>Macau, China</t>
        </is>
      </c>
      <c r="D332" t="inlineStr">
        <is>
          <t>TBD</t>
        </is>
      </c>
      <c r="E332" t="inlineStr">
        <is>
          <t>August 21, 2026</t>
        </is>
      </c>
      <c r="F332" t="inlineStr">
        <is>
          <t>July 12, 2027</t>
        </is>
      </c>
      <c r="G332" t="inlineStr">
        <is>
          <t>Computer &amp; communications security</t>
        </is>
      </c>
      <c r="H332">
        <f>IF(ISERROR(DATEVALUE(MID(D332, FIND(" ", D332)+1, FIND(",", D332)-FIND(" ", D332)-1) &amp; "-" &amp; LEFT(D332, FIND(" ", D332)-1) &amp; "-" &amp; RIGHT(D332, 4))), "20260101", TEXT(DATEVALUE(MID(D332, FIND(" ", D332)+1, FIND(",", D332)-FIND(" ", D332)-1) &amp; "-" &amp; LEFT(D332, FIND(" ", D332)-1) &amp; "-" &amp; RIGHT(D332, 4)), "YYYYMMDD"))</f>
        <v/>
      </c>
      <c r="I332" t="inlineStr">
        <is>
          <t>CORE A</t>
        </is>
      </c>
    </row>
    <row r="333">
      <c r="A333" t="inlineStr">
        <is>
          <t>OPODIS 2026 (International Conference on Principles of Distributed Systems)</t>
        </is>
      </c>
      <c r="B333" t="inlineStr">
        <is>
          <t>https://opodis26.software.imdea.org</t>
        </is>
      </c>
      <c r="C333" t="inlineStr">
        <is>
          <t>Madrid, Spain</t>
        </is>
      </c>
      <c r="D333" t="inlineStr">
        <is>
          <t>August 31, 2026</t>
        </is>
      </c>
      <c r="E333" t="inlineStr">
        <is>
          <t>September 3, 2026</t>
        </is>
      </c>
      <c r="F333" t="inlineStr">
        <is>
          <t>December 9, 2026</t>
        </is>
      </c>
      <c r="G333" t="inlineStr">
        <is>
          <t>Distributed systems; distributed algorithms</t>
        </is>
      </c>
      <c r="H333">
        <f>IF(ISERROR(DATEVALUE(MID(D333, FIND(" ", D333)+1, FIND(",", D333)-FIND(" ", D333)-1) &amp; "-" &amp; LEFT(D333, FIND(" ", D333)-1) &amp; "-" &amp; RIGHT(D333, 4))), "20260101", TEXT(DATEVALUE(MID(D333, FIND(" ", D333)+1, FIND(",", D333)-FIND(" ", D333)-1) &amp; "-" &amp; LEFT(D333, FIND(" ", D333)-1) &amp; "-" &amp; RIGHT(D333, 4)), "YYYYMMDD"))</f>
        <v/>
      </c>
      <c r="I333" t="inlineStr">
        <is>
          <t>CORE B</t>
        </is>
      </c>
    </row>
    <row r="334">
      <c r="A334" t="inlineStr">
        <is>
          <t>ASPLOS 2027 - 2nd Deadline (ACM Intl. Conf. on Architectural Support for Programming Languages and Operating Systems)</t>
        </is>
      </c>
      <c r="B334" t="inlineStr">
        <is>
          <t>https://www.asplos-conference.org/asplos2027/cfp/</t>
        </is>
      </c>
      <c r="C334" t="inlineStr">
        <is>
          <t>Reported Mar 30 - Apr 3, 2027 (venue TBC; also reported as Crete, Greece, Apr 11-15)</t>
        </is>
      </c>
      <c r="D334" t="inlineStr">
        <is>
          <t>TBD</t>
        </is>
      </c>
      <c r="E334" t="inlineStr">
        <is>
          <t>September 9, 2026</t>
        </is>
      </c>
      <c r="F334" t="inlineStr">
        <is>
          <t>March 30, 2027</t>
        </is>
      </c>
      <c r="G334" t="inlineStr">
        <is>
          <t>Architecture; OS; PL; systems</t>
        </is>
      </c>
      <c r="H334">
        <f>IF(ISERROR(DATEVALUE(MID(D334, FIND(" ", D334)+1, FIND(",", D334)-FIND(" ", D334)-1) &amp; "-" &amp; LEFT(D334, FIND(" ", D334)-1) &amp; "-" &amp; RIGHT(D334, 4))), "20260101", TEXT(DATEVALUE(MID(D334, FIND(" ", D334)+1, FIND(",", D334)-FIND(" ", D334)-1) &amp; "-" &amp; LEFT(D334, FIND(" ", D334)-1) &amp; "-" &amp; RIGHT(D334, 4)), "YYYYMMDD"))</f>
        <v/>
      </c>
      <c r="I334" t="inlineStr">
        <is>
          <t>CORE A*</t>
        </is>
      </c>
    </row>
    <row r="335">
      <c r="A335" t="inlineStr">
        <is>
          <t>CHI 2027 (ACM Conference on Human Factors in Computing Systems)</t>
        </is>
      </c>
      <c r="B335" t="inlineStr">
        <is>
          <t>https://chi.acm.org/</t>
        </is>
      </c>
      <c r="C335" t="inlineStr">
        <is>
          <t>TBD</t>
        </is>
      </c>
      <c r="D335" t="inlineStr">
        <is>
          <t>TBD</t>
        </is>
      </c>
      <c r="E335" t="inlineStr">
        <is>
          <t>September 10, 2026</t>
        </is>
      </c>
      <c r="F335" t="inlineStr">
        <is>
          <t>TBD</t>
        </is>
      </c>
      <c r="G335" t="inlineStr">
        <is>
          <t>Human-computer interaction</t>
        </is>
      </c>
      <c r="H335">
        <f>IF(ISERROR(DATEVALUE(MID(D335, FIND(" ", D335)+1, FIND(",", D335)-FIND(" ", D335)-1) &amp; "-" &amp; LEFT(D335, FIND(" ", D335)-1) &amp; "-" &amp; RIGHT(D335, 4))), "20260101", TEXT(DATEVALUE(MID(D335, FIND(" ", D335)+1, FIND(",", D335)-FIND(" ", D335)-1) &amp; "-" &amp; LEFT(D335, FIND(" ", D335)-1) &amp; "-" &amp; RIGHT(D335, 4)), "YYYYMMDD"))</f>
        <v/>
      </c>
      <c r="I335" t="inlineStr">
        <is>
          <t>CORE A*</t>
        </is>
      </c>
    </row>
    <row r="336">
      <c r="A336" t="inlineStr">
        <is>
          <t>STACS 2027 (Symposium on Theoretical Aspects of Computer Science)</t>
        </is>
      </c>
      <c r="B336" t="inlineStr">
        <is>
          <t>https://events.gwdg.de/event/1460/</t>
        </is>
      </c>
      <c r="C336" t="inlineStr">
        <is>
          <t>Göttingen, Germany</t>
        </is>
      </c>
      <c r="D336" t="inlineStr">
        <is>
          <t>TBD</t>
        </is>
      </c>
      <c r="E336" t="inlineStr">
        <is>
          <t>September 11, 2026</t>
        </is>
      </c>
      <c r="F336" t="inlineStr">
        <is>
          <t>March 8, 2027</t>
        </is>
      </c>
      <c r="G336" t="inlineStr">
        <is>
          <t>Theoretical computer science</t>
        </is>
      </c>
      <c r="H336">
        <f>IF(ISERROR(DATEVALUE(MID(D336, FIND(" ", D336)+1, FIND(",", D336)-FIND(" ", D336)-1) &amp; "-" &amp; LEFT(D336, FIND(" ", D336)-1) &amp; "-" &amp; RIGHT(D336, 4))), "20260101", TEXT(DATEVALUE(MID(D336, FIND(" ", D336)+1, FIND(",", D336)-FIND(" ", D336)-1) &amp; "-" &amp; LEFT(D336, FIND(" ", D336)-1) &amp; "-" &amp; RIGHT(D336, 4)), "YYYYMMDD"))</f>
        <v/>
      </c>
      <c r="I336" t="inlineStr">
        <is>
          <t>CORE A</t>
        </is>
      </c>
    </row>
    <row r="337">
      <c r="A337" t="inlineStr">
        <is>
          <t>SOFSEM 2027 (Conference on Current Trends in Theory and Practice of Computer Science)</t>
        </is>
      </c>
      <c r="B337" t="inlineStr">
        <is>
          <t>https://sofsem2027.conf.uoi.gr/</t>
        </is>
      </c>
      <c r="C337" t="inlineStr">
        <is>
          <t>Ioannina, Greece</t>
        </is>
      </c>
      <c r="D337" t="inlineStr">
        <is>
          <t>September 15, 2026</t>
        </is>
      </c>
      <c r="E337" t="inlineStr">
        <is>
          <t>September 18, 2026</t>
        </is>
      </c>
      <c r="F337" t="inlineStr">
        <is>
          <t>February 2, 2027</t>
        </is>
      </c>
      <c r="G337" t="inlineStr">
        <is>
          <t>Theory &amp; practice of computer science</t>
        </is>
      </c>
      <c r="H337">
        <f>IF(ISERROR(DATEVALUE(MID(D337, FIND(" ", D337)+1, FIND(",", D337)-FIND(" ", D337)-1) &amp; "-" &amp; LEFT(D337, FIND(" ", D337)-1) &amp; "-" &amp; RIGHT(D337, 4))), "20260101", TEXT(DATEVALUE(MID(D337, FIND(" ", D337)+1, FIND(",", D337)-FIND(" ", D337)-1) &amp; "-" &amp; LEFT(D337, FIND(" ", D337)-1) &amp; "-" &amp; RIGHT(D337, 4)), "YYYYMMDD"))</f>
        <v/>
      </c>
      <c r="I337" t="inlineStr">
        <is>
          <t>CORE B</t>
        </is>
      </c>
    </row>
    <row r="338">
      <c r="A338" t="inlineStr">
        <is>
          <t>ICRA 2027 (IEEE International Conference on Robotics and Automation)</t>
        </is>
      </c>
      <c r="B338" t="inlineStr">
        <is>
          <t>https://www.ieee-ras.org/conferences-workshops/fully-sponsored/icra</t>
        </is>
      </c>
      <c r="C338" t="inlineStr">
        <is>
          <t>Toronto, Canada</t>
        </is>
      </c>
      <c r="D338" t="inlineStr">
        <is>
          <t>TBD</t>
        </is>
      </c>
      <c r="E338" t="inlineStr">
        <is>
          <t>September 16, 2026</t>
        </is>
      </c>
      <c r="F338" t="inlineStr">
        <is>
          <t>May 16, 2027</t>
        </is>
      </c>
      <c r="G338" t="inlineStr">
        <is>
          <t>Robotics; automation</t>
        </is>
      </c>
      <c r="H338">
        <f>IF(ISERROR(DATEVALUE(MID(D338, FIND(" ", D338)+1, FIND(",", D338)-FIND(" ", D338)-1) &amp; "-" &amp; LEFT(D338, FIND(" ", D338)-1) &amp; "-" &amp; RIGHT(D338, 4))), "20260101", TEXT(DATEVALUE(MID(D338, FIND(" ", D338)+1, FIND(",", D338)-FIND(" ", D338)-1) &amp; "-" &amp; LEFT(D338, FIND(" ", D338)-1) &amp; "-" &amp; RIGHT(D338, 4)), "YYYYMMDD"))</f>
        <v/>
      </c>
      <c r="I338" t="inlineStr">
        <is>
          <t>CORE A*</t>
        </is>
      </c>
    </row>
    <row r="339">
      <c r="A339" t="inlineStr">
        <is>
          <t>EUROCRYPT 2027 (Annual International Conference on the Theory and Applications of Cryptographic Techniques)</t>
        </is>
      </c>
      <c r="B339" t="inlineStr">
        <is>
          <t>https://www.iacr.org/meetings/eurocrypt/</t>
        </is>
      </c>
      <c r="C339" t="inlineStr">
        <is>
          <t>Eindhoven, Netherlands</t>
        </is>
      </c>
      <c r="D339" t="inlineStr">
        <is>
          <t>TBD</t>
        </is>
      </c>
      <c r="E339" t="inlineStr">
        <is>
          <t>September 17, 2026</t>
        </is>
      </c>
      <c r="F339" t="inlineStr">
        <is>
          <t>April 11, 2027</t>
        </is>
      </c>
      <c r="G339" t="inlineStr">
        <is>
          <t>Cryptography</t>
        </is>
      </c>
      <c r="H339">
        <f>IF(ISERROR(DATEVALUE(MID(D339, FIND(" ", D339)+1, FIND(",", D339)-FIND(" ", D339)-1) &amp; "-" &amp; LEFT(D339, FIND(" ", D339)-1) &amp; "-" &amp; RIGHT(D339, 4))), "20260101", TEXT(DATEVALUE(MID(D339, FIND(" ", D339)+1, FIND(",", D339)-FIND(" ", D339)-1) &amp; "-" &amp; LEFT(D339, FIND(" ", D339)-1) &amp; "-" &amp; RIGHT(D339, 4)), "YYYYMMDD"))</f>
        <v/>
      </c>
      <c r="I339" t="inlineStr">
        <is>
          <t>CORE A*</t>
        </is>
      </c>
    </row>
    <row r="340">
      <c r="A340" t="inlineStr">
        <is>
          <t>EuroSys 2027 - Fall Cycle (European Conference on Computer Systems)</t>
        </is>
      </c>
      <c r="B340" t="inlineStr">
        <is>
          <t>https://2027.eurosys.org/cfp.html</t>
        </is>
      </c>
      <c r="C340" t="inlineStr">
        <is>
          <t>Rabat, Morocco</t>
        </is>
      </c>
      <c r="D340" t="inlineStr">
        <is>
          <t>September 17, 2026</t>
        </is>
      </c>
      <c r="E340" t="inlineStr">
        <is>
          <t>September 24, 2026</t>
        </is>
      </c>
      <c r="F340" t="inlineStr">
        <is>
          <t>April 19, 2027</t>
        </is>
      </c>
      <c r="G340" t="inlineStr">
        <is>
          <t>Computer systems; OS; distributed systems</t>
        </is>
      </c>
      <c r="H340">
        <f>IF(ISERROR(DATEVALUE(MID(D340, FIND(" ", D340)+1, FIND(",", D340)-FIND(" ", D340)-1) &amp; "-" &amp; LEFT(D340, FIND(" ", D340)-1) &amp; "-" &amp; RIGHT(D340, 4))), "20260101", TEXT(DATEVALUE(MID(D340, FIND(" ", D340)+1, FIND(",", D340)-FIND(" ", D340)-1) &amp; "-" &amp; LEFT(D340, FIND(" ", D340)-1) &amp; "-" &amp; RIGHT(D340, 4)), "YYYYMMDD"))</f>
        <v/>
      </c>
      <c r="I340" t="inlineStr">
        <is>
          <t>CORE A</t>
        </is>
      </c>
    </row>
    <row r="341">
      <c r="A341" t="inlineStr">
        <is>
          <t>ICLR 2027 (International Conference on Learning Representations)</t>
        </is>
      </c>
      <c r="B341" t="inlineStr">
        <is>
          <t>https://iclr.cc/</t>
        </is>
      </c>
      <c r="C341" t="inlineStr">
        <is>
          <t>Brazil (city TBA)</t>
        </is>
      </c>
      <c r="D341" t="inlineStr">
        <is>
          <t>September 19, 2026</t>
        </is>
      </c>
      <c r="E341" t="inlineStr">
        <is>
          <t>September 24, 2026</t>
        </is>
      </c>
      <c r="F341" t="inlineStr">
        <is>
          <t>April 24, 2027</t>
        </is>
      </c>
      <c r="G341" t="inlineStr">
        <is>
          <t>Machine learning; deep learning; representation learning</t>
        </is>
      </c>
      <c r="H341">
        <f>IF(ISERROR(DATEVALUE(MID(D341, FIND(" ", D341)+1, FIND(",", D341)-FIND(" ", D341)-1) &amp; "-" &amp; LEFT(D341, FIND(" ", D341)-1) &amp; "-" &amp; RIGHT(D341, 4))), "20260101", TEXT(DATEVALUE(MID(D341, FIND(" ", D341)+1, FIND(",", D341)-FIND(" ", D341)-1) &amp; "-" &amp; LEFT(D341, FIND(" ", D341)-1) &amp; "-" &amp; RIGHT(D341, 4)), "YYYYMMDD"))</f>
        <v/>
      </c>
      <c r="I341" t="inlineStr">
        <is>
          <t>CORE A*</t>
        </is>
      </c>
    </row>
    <row r="342">
      <c r="A342" t="inlineStr">
        <is>
          <t>FSE 2027 (ACM International Conference on the Foundations of Software Engineering)</t>
        </is>
      </c>
      <c r="B342" t="inlineStr">
        <is>
          <t>https://conf.researchr.org/track/fse-2027/fse-2027-papers</t>
        </is>
      </c>
      <c r="C342" t="inlineStr">
        <is>
          <t>Trondheim, Norway</t>
        </is>
      </c>
      <c r="D342" t="inlineStr">
        <is>
          <t>TBD</t>
        </is>
      </c>
      <c r="E342" t="inlineStr">
        <is>
          <t>October 2, 2026</t>
        </is>
      </c>
      <c r="F342" t="inlineStr">
        <is>
          <t>July 23, 2027</t>
        </is>
      </c>
      <c r="G342" t="inlineStr">
        <is>
          <t>Software engineering</t>
        </is>
      </c>
      <c r="H342">
        <f>IF(ISERROR(DATEVALUE(MID(D342, FIND(" ", D342)+1, FIND(",", D342)-FIND(" ", D342)-1) &amp; "-" &amp; LEFT(D342, FIND(" ", D342)-1) &amp; "-" &amp; RIGHT(D342, 4))), "20260101", TEXT(DATEVALUE(MID(D342, FIND(" ", D342)+1, FIND(",", D342)-FIND(" ", D342)-1) &amp; "-" &amp; LEFT(D342, FIND(" ", D342)-1) &amp; "-" &amp; RIGHT(D342, 4)), "YYYYMMDD"))</f>
        <v/>
      </c>
      <c r="I342" t="inlineStr">
        <is>
          <t>CORE A*</t>
        </is>
      </c>
    </row>
    <row r="343">
      <c r="A343" t="inlineStr">
        <is>
          <t>AISTATS 2027 (International Conference on Artificial Intelligence and Statistics)</t>
        </is>
      </c>
      <c r="B343" t="inlineStr">
        <is>
          <t>https://aistats.org/</t>
        </is>
      </c>
      <c r="C343" t="inlineStr">
        <is>
          <t>TBD</t>
        </is>
      </c>
      <c r="D343" t="inlineStr">
        <is>
          <t>TBD</t>
        </is>
      </c>
      <c r="E343" t="inlineStr">
        <is>
          <t>October 8, 2026</t>
        </is>
      </c>
      <c r="F343" t="inlineStr">
        <is>
          <t>May 2, 2027</t>
        </is>
      </c>
      <c r="G343" t="inlineStr">
        <is>
          <t>Machine learning; statistics</t>
        </is>
      </c>
      <c r="H343">
        <f>IF(ISERROR(DATEVALUE(MID(D343, FIND(" ", D343)+1, FIND(",", D343)-FIND(" ", D343)-1) &amp; "-" &amp; LEFT(D343, FIND(" ", D343)-1) &amp; "-" &amp; RIGHT(D343, 4))), "20260101", TEXT(DATEVALUE(MID(D343, FIND(" ", D343)+1, FIND(",", D343)-FIND(" ", D343)-1) &amp; "-" &amp; LEFT(D343, FIND(" ", D343)-1) &amp; "-" &amp; RIGHT(D343, 4)), "YYYYMMDD"))</f>
        <v/>
      </c>
      <c r="I343" t="inlineStr">
        <is>
          <t>CORE A</t>
        </is>
      </c>
    </row>
    <row r="344">
      <c r="A344" t="inlineStr">
        <is>
          <t>COLING 2027 via ACL Rolling Review (International Conference on Computational Linguistics)</t>
        </is>
      </c>
      <c r="B344" t="inlineStr">
        <is>
          <t>https://coling2027.org/</t>
        </is>
      </c>
      <c r="C344" t="inlineStr">
        <is>
          <t>Macau, China (predicted)</t>
        </is>
      </c>
      <c r="D344" t="inlineStr">
        <is>
          <t>TBD</t>
        </is>
      </c>
      <c r="E344" t="inlineStr">
        <is>
          <t>October 12, 2026</t>
        </is>
      </c>
      <c r="F344" t="inlineStr">
        <is>
          <t>May 9, 2027</t>
        </is>
      </c>
      <c r="G344" t="inlineStr">
        <is>
          <t>NLP; computational linguistics</t>
        </is>
      </c>
      <c r="H344">
        <f>IF(ISERROR(DATEVALUE(MID(D344, FIND(" ", D344)+1, FIND(",", D344)-FIND(" ", D344)-1) &amp; "-" &amp; LEFT(D344, FIND(" ", D344)-1) &amp; "-" &amp; RIGHT(D344, 4))), "20260101", TEXT(DATEVALUE(MID(D344, FIND(" ", D344)+1, FIND(",", D344)-FIND(" ", D344)-1) &amp; "-" &amp; LEFT(D344, FIND(" ", D344)-1) &amp; "-" &amp; RIGHT(D344, 4)), "YYYYMMDD"))</f>
        <v/>
      </c>
      <c r="I344" t="inlineStr">
        <is>
          <t>CORE A</t>
        </is>
      </c>
    </row>
    <row r="345">
      <c r="A345" t="inlineStr">
        <is>
          <t>TACAS 2027 (Intl. Conf. on Tools and Algorithms for the Construction and Analysis of Systems, ETAPS)</t>
        </is>
      </c>
      <c r="B345" t="inlineStr">
        <is>
          <t>https://etaps.org/2027/conferences/tacas/</t>
        </is>
      </c>
      <c r="C345" t="inlineStr">
        <is>
          <t>Copenhagen, Denmark</t>
        </is>
      </c>
      <c r="D345" t="inlineStr">
        <is>
          <t>TBD</t>
        </is>
      </c>
      <c r="E345" t="inlineStr">
        <is>
          <t>October 15, 2026</t>
        </is>
      </c>
      <c r="F345" t="inlineStr">
        <is>
          <t>April 12, 2027</t>
        </is>
      </c>
      <c r="G345" t="inlineStr">
        <is>
          <t>Formal verification; model checking; tools. Notification: Dec 22, 2026</t>
        </is>
      </c>
      <c r="H345">
        <f>IF(ISERROR(DATEVALUE(MID(D345, FIND(" ", D345)+1, FIND(",", D345)-FIND(" ", D345)-1) &amp; "-" &amp; LEFT(D345, FIND(" ", D345)-1) &amp; "-" &amp; RIGHT(D345, 4))), "20260101", TEXT(DATEVALUE(MID(D345, FIND(" ", D345)+1, FIND(",", D345)-FIND(" ", D345)-1) &amp; "-" &amp; LEFT(D345, FIND(" ", D345)-1) &amp; "-" &amp; RIGHT(D345, 4)), "YYYYMMDD"))</f>
        <v/>
      </c>
      <c r="I345" t="inlineStr">
        <is>
          <t>CORE A</t>
        </is>
      </c>
    </row>
    <row r="346">
      <c r="A346" t="inlineStr">
        <is>
          <t>ESOP 2027 - Round 2 (European Symposium on Programming, ETAPS)</t>
        </is>
      </c>
      <c r="B346" t="inlineStr">
        <is>
          <t>https://etaps.org/2027/esop</t>
        </is>
      </c>
      <c r="C346" t="inlineStr">
        <is>
          <t>Copenhagen, Denmark</t>
        </is>
      </c>
      <c r="D346" t="inlineStr">
        <is>
          <t>TBD</t>
        </is>
      </c>
      <c r="E346" t="inlineStr">
        <is>
          <t>October 15, 2026</t>
        </is>
      </c>
      <c r="F346" t="inlineStr">
        <is>
          <t>April 12, 2027</t>
        </is>
      </c>
      <c r="G346" t="inlineStr">
        <is>
          <t>Programming languages; semantics. Notification: Dec 22, 2026</t>
        </is>
      </c>
      <c r="H346">
        <f>IF(ISERROR(DATEVALUE(MID(D346, FIND(" ", D346)+1, FIND(",", D346)-FIND(" ", D346)-1) &amp; "-" &amp; LEFT(D346, FIND(" ", D346)-1) &amp; "-" &amp; RIGHT(D346, 4))), "20260101", TEXT(DATEVALUE(MID(D346, FIND(" ", D346)+1, FIND(",", D346)-FIND(" ", D346)-1) &amp; "-" &amp; LEFT(D346, FIND(" ", D346)-1) &amp; "-" &amp; RIGHT(D346, 4)), "YYYYMMDD"))</f>
        <v/>
      </c>
      <c r="I346" t="inlineStr">
        <is>
          <t>CORE A</t>
        </is>
      </c>
    </row>
    <row r="347">
      <c r="A347" t="inlineStr">
        <is>
          <t>FoSSaCS 2027 (Foundations of Software Science and Computation Structures, ETAPS)</t>
        </is>
      </c>
      <c r="B347" t="inlineStr">
        <is>
          <t>https://etaps.org/2027/fossacs</t>
        </is>
      </c>
      <c r="C347" t="inlineStr">
        <is>
          <t>Copenhagen, Denmark</t>
        </is>
      </c>
      <c r="D347" t="inlineStr">
        <is>
          <t>TBD</t>
        </is>
      </c>
      <c r="E347" t="inlineStr">
        <is>
          <t>October 15, 2026</t>
        </is>
      </c>
      <c r="F347" t="inlineStr">
        <is>
          <t>April 12, 2027</t>
        </is>
      </c>
      <c r="G347" t="inlineStr">
        <is>
          <t>Foundations of software science. Notification: Dec 22, 2026</t>
        </is>
      </c>
      <c r="H347">
        <f>IF(ISERROR(DATEVALUE(MID(D347, FIND(" ", D347)+1, FIND(",", D347)-FIND(" ", D347)-1) &amp; "-" &amp; LEFT(D347, FIND(" ", D347)-1) &amp; "-" &amp; RIGHT(D347, 4))), "20260101", TEXT(DATEVALUE(MID(D347, FIND(" ", D347)+1, FIND(",", D347)-FIND(" ", D347)-1) &amp; "-" &amp; LEFT(D347, FIND(" ", D347)-1) &amp; "-" &amp; RIGHT(D347, 4)), "YYYYMMDD"))</f>
        <v/>
      </c>
      <c r="I347" t="inlineStr">
        <is>
          <t>CORE A</t>
        </is>
      </c>
    </row>
    <row r="348">
      <c r="A348" t="inlineStr">
        <is>
          <t>iFS 2027 (Intl. Conf. on Foundations and Formal Methods for Software and Systems, ETAPS; FASE+iFM merger)</t>
        </is>
      </c>
      <c r="B348" t="inlineStr">
        <is>
          <t>https://etaps.org/2027/ifs</t>
        </is>
      </c>
      <c r="C348" t="inlineStr">
        <is>
          <t>Copenhagen, Denmark</t>
        </is>
      </c>
      <c r="D348" t="inlineStr">
        <is>
          <t>TBD</t>
        </is>
      </c>
      <c r="E348" t="inlineStr">
        <is>
          <t>October 15, 2026</t>
        </is>
      </c>
      <c r="F348" t="inlineStr">
        <is>
          <t>April 12, 2027</t>
        </is>
      </c>
      <c r="G348" t="inlineStr">
        <is>
          <t>Formal methods; software engineering. Notification: Dec 22, 2026</t>
        </is>
      </c>
      <c r="H348">
        <f>IF(ISERROR(DATEVALUE(MID(D348, FIND(" ", D348)+1, FIND(",", D348)-FIND(" ", D348)-1) &amp; "-" &amp; LEFT(D348, FIND(" ", D348)-1) &amp; "-" &amp; RIGHT(D348, 4))), "20260101", TEXT(DATEVALUE(MID(D348, FIND(" ", D348)+1, FIND(",", D348)-FIND(" ", D348)-1) &amp; "-" &amp; LEFT(D348, FIND(" ", D348)-1) &amp; "-" &amp; RIGHT(D348, 4)), "YYYYMMDD"))</f>
        <v/>
      </c>
      <c r="I348" t="inlineStr">
        <is>
          <t>New venue (FASE was CORE B)</t>
        </is>
      </c>
    </row>
    <row r="349">
      <c r="A349" t="inlineStr">
        <is>
          <t>SIGMOD 2027 - Round 2 (ACM SIGMOD/PODS International Conference on Management of Data)</t>
        </is>
      </c>
      <c r="B349" t="inlineStr">
        <is>
          <t>https://2027.sigmod.org/calls_papers_important_dates.shtml</t>
        </is>
      </c>
      <c r="C349" t="inlineStr">
        <is>
          <t>Huntington Beach, CA, USA</t>
        </is>
      </c>
      <c r="D349" t="inlineStr">
        <is>
          <t>October 10, 2026</t>
        </is>
      </c>
      <c r="E349" t="inlineStr">
        <is>
          <t>October 17, 2026</t>
        </is>
      </c>
      <c r="F349" t="inlineStr">
        <is>
          <t>June 13, 2027</t>
        </is>
      </c>
      <c r="G349" t="inlineStr">
        <is>
          <t>Databases; data management</t>
        </is>
      </c>
      <c r="H349">
        <f>IF(ISERROR(DATEVALUE(MID(D349, FIND(" ", D349)+1, FIND(",", D349)-FIND(" ", D349)-1) &amp; "-" &amp; LEFT(D349, FIND(" ", D349)-1) &amp; "-" &amp; RIGHT(D349, 4))), "20260101", TEXT(DATEVALUE(MID(D349, FIND(" ", D349)+1, FIND(",", D349)-FIND(" ", D349)-1) &amp; "-" &amp; LEFT(D349, FIND(" ", D349)-1) &amp; "-" &amp; RIGHT(D349, 4)), "YYYYMMDD"))</f>
        <v/>
      </c>
      <c r="I349" t="inlineStr">
        <is>
          <t>CORE A*</t>
        </is>
      </c>
    </row>
    <row r="350">
      <c r="A350" t="inlineStr">
        <is>
          <t>STOC 2027 (ACM Symposium on Theory of Computing)</t>
        </is>
      </c>
      <c r="B350" t="inlineStr">
        <is>
          <t>http://acm-stoc.org/</t>
        </is>
      </c>
      <c r="C350" t="inlineStr">
        <is>
          <t>Salt Lake City, UT, USA</t>
        </is>
      </c>
      <c r="D350" t="inlineStr">
        <is>
          <t>TBD</t>
        </is>
      </c>
      <c r="E350" t="inlineStr">
        <is>
          <t>November 4, 2026</t>
        </is>
      </c>
      <c r="F350" t="inlineStr">
        <is>
          <t>June 22, 2027</t>
        </is>
      </c>
      <c r="G350" t="inlineStr">
        <is>
          <t>Theoretical computer science</t>
        </is>
      </c>
      <c r="H350">
        <f>IF(ISERROR(DATEVALUE(MID(D350, FIND(" ", D350)+1, FIND(",", D350)-FIND(" ", D350)-1) &amp; "-" &amp; LEFT(D350, FIND(" ", D350)-1) &amp; "-" &amp; RIGHT(D350, 4))), "20260101", TEXT(DATEVALUE(MID(D350, FIND(" ", D350)+1, FIND(",", D350)-FIND(" ", D350)-1) &amp; "-" &amp; LEFT(D350, FIND(" ", D350)-1) &amp; "-" &amp; RIGHT(D350, 4)), "YYYYMMDD"))</f>
        <v/>
      </c>
      <c r="I350" t="inlineStr">
        <is>
          <t>CORE A*</t>
        </is>
      </c>
    </row>
    <row r="351">
      <c r="A351" t="inlineStr">
        <is>
          <t>IEEE S&amp;P (Oakland) 2027 - Cycle 2 (IEEE Symposium on Security and Privacy)</t>
        </is>
      </c>
      <c r="B351" t="inlineStr">
        <is>
          <t>https://sp2027.ieee-security.org/cfpapers.html</t>
        </is>
      </c>
      <c r="C351" t="inlineStr">
        <is>
          <t>San Francisco, CA, USA</t>
        </is>
      </c>
      <c r="D351" t="inlineStr">
        <is>
          <t>November 10, 2026</t>
        </is>
      </c>
      <c r="E351" t="inlineStr">
        <is>
          <t>November 17, 2026</t>
        </is>
      </c>
      <c r="F351" t="inlineStr">
        <is>
          <t>May 12, 2027</t>
        </is>
      </c>
      <c r="G351" t="inlineStr">
        <is>
          <t>Security; privacy</t>
        </is>
      </c>
      <c r="H351">
        <f>IF(ISERROR(DATEVALUE(MID(D351, FIND(" ", D351)+1, FIND(",", D351)-FIND(" ", D351)-1) &amp; "-" &amp; LEFT(D351, FIND(" ", D351)-1) &amp; "-" &amp; RIGHT(D351, 4))), "20260101", TEXT(DATEVALUE(MID(D351, FIND(" ", D351)+1, FIND(",", D351)-FIND(" ", D351)-1) &amp; "-" &amp; LEFT(D351, FIND(" ", D351)-1) &amp; "-" &amp; RIGHT(D351, 4)), "YYYYMMDD"))</f>
        <v/>
      </c>
      <c r="I351" t="inlineStr">
        <is>
          <t>CORE A*</t>
        </is>
      </c>
    </row>
    <row r="352">
      <c r="A352" t="inlineStr">
        <is>
          <t>VLDB 2027 / PVLDB Vol. 20 (International Conference on Very Large Data Bases)</t>
        </is>
      </c>
      <c r="B352" t="inlineStr">
        <is>
          <t>https://www.vldb.org/2027/</t>
        </is>
      </c>
      <c r="C352" t="inlineStr">
        <is>
          <t>Athens, Greece</t>
        </is>
      </c>
      <c r="D352" t="inlineStr">
        <is>
          <t>TBD</t>
        </is>
      </c>
      <c r="E352" t="inlineStr">
        <is>
          <t>March 1, 2027</t>
        </is>
      </c>
      <c r="F352" t="inlineStr">
        <is>
          <t>August 23, 2027</t>
        </is>
      </c>
      <c r="G352" t="inlineStr">
        <is>
          <t>Databases; data management</t>
        </is>
      </c>
      <c r="H352">
        <f>IF(ISERROR(DATEVALUE(MID(D352, FIND(" ", D352)+1, FIND(",", D352)-FIND(" ", D352)-1) &amp; "-" &amp; LEFT(D352, FIND(" ", D352)-1) &amp; "-" &amp; RIGHT(D352, 4))), "20260101", TEXT(DATEVALUE(MID(D352, FIND(" ", D352)+1, FIND(",", D352)-FIND(" ", D352)-1) &amp; "-" &amp; LEFT(D352, FIND(" ", D352)-1) &amp; "-" &amp; RIGHT(D352, 4)), "YYYYMMDD"))</f>
        <v/>
      </c>
      <c r="I352" t="inlineStr">
        <is>
          <t>CORE A*</t>
        </is>
      </c>
    </row>
    <row r="353">
      <c r="A353" t="inlineStr">
        <is>
          <t>USENIX Security 2027 - Cycle 2 (USENIX Security Symposium)</t>
        </is>
      </c>
      <c r="B353" t="inlineStr">
        <is>
          <t>https://www.usenix.org/conference/usenixsecurity27/call-for-papers</t>
        </is>
      </c>
      <c r="C353" t="inlineStr">
        <is>
          <t>Denver, CO, USA</t>
        </is>
      </c>
      <c r="D353" t="inlineStr">
        <is>
          <t>January 19, 2027</t>
        </is>
      </c>
      <c r="E353" t="inlineStr">
        <is>
          <t>January 26, 2027</t>
        </is>
      </c>
      <c r="F353" t="inlineStr">
        <is>
          <t>August 11, 2027</t>
        </is>
      </c>
      <c r="G353" t="inlineStr">
        <is>
          <t>Computer security; privacy</t>
        </is>
      </c>
      <c r="H353">
        <f>IF(ISERROR(DATEVALUE(MID(D353, FIND(" ", D353)+1, FIND(",", D353)-FIND(" ", D353)-1) &amp; "-" &amp; LEFT(D353, FIND(" ", D353)-1) &amp; "-" &amp; RIGHT(D353, 4))), "20260101", TEXT(DATEVALUE(MID(D353, FIND(" ", D353)+1, FIND(",", D353)-FIND(" ", D353)-1) &amp; "-" &amp; LEFT(D353, FIND(" ", D353)-1) &amp; "-" &amp; RIGHT(D353, 4)), "YYYYMMDD"))</f>
        <v/>
      </c>
      <c r="I353" t="inlineStr">
        <is>
          <t>CORE A*</t>
        </is>
      </c>
    </row>
    <row r="354">
      <c r="A354" t="inlineStr">
        <is>
          <t>ICML 2027 (International Conference on Machine Learning)</t>
        </is>
      </c>
      <c r="B354" t="inlineStr">
        <is>
          <t>https://icml.cc/</t>
        </is>
      </c>
      <c r="C354" t="inlineStr">
        <is>
          <t>TBD</t>
        </is>
      </c>
      <c r="D354" t="inlineStr">
        <is>
          <t>January 16, 2027</t>
        </is>
      </c>
      <c r="E354" t="inlineStr">
        <is>
          <t>January 22, 2027</t>
        </is>
      </c>
      <c r="F354" t="inlineStr">
        <is>
          <t>TBD</t>
        </is>
      </c>
      <c r="G354" t="inlineStr">
        <is>
          <t>Machine learning</t>
        </is>
      </c>
      <c r="H354">
        <f>IF(ISERROR(DATEVALUE(MID(D354, FIND(" ", D354)+1, FIND(",", D354)-FIND(" ", D354)-1) &amp; "-" &amp; LEFT(D354, FIND(" ", D354)-1) &amp; "-" &amp; RIGHT(D354, 4))), "20260101", TEXT(DATEVALUE(MID(D354, FIND(" ", D354)+1, FIND(",", D354)-FIND(" ", D354)-1) &amp; "-" &amp; LEFT(D354, FIND(" ", D354)-1) &amp; "-" &amp; RIGHT(D354, 4)), "YYYYMMDD"))</f>
        <v/>
      </c>
      <c r="I354" t="inlineStr">
        <is>
          <t>CORE A*</t>
        </is>
      </c>
    </row>
    <row r="355">
      <c r="A355" t="inlineStr">
        <is>
          <t>HPCA 2027 (IEEE International Symposium on High-Performance Computer Architecture)</t>
        </is>
      </c>
      <c r="B355" t="inlineStr">
        <is>
          <t>https://hpca-conf.org/</t>
        </is>
      </c>
      <c r="C355" t="inlineStr">
        <is>
          <t>Salt Lake City, UT, USA (TBC)</t>
        </is>
      </c>
      <c r="D355" t="inlineStr">
        <is>
          <t>July 25, 2026</t>
        </is>
      </c>
      <c r="E355" t="inlineStr">
        <is>
          <t>August 1, 2026</t>
        </is>
      </c>
      <c r="F355" t="inlineStr">
        <is>
          <t>TBD</t>
        </is>
      </c>
      <c r="G355" t="inlineStr">
        <is>
          <t>Computer architecture</t>
        </is>
      </c>
      <c r="H355">
        <f>IF(ISERROR(DATEVALUE(MID(D355, FIND(" ", D355)+1, FIND(",", D355)-FIND(" ", D355)-1) &amp; "-" &amp; LEFT(D355, FIND(" ", D355)-1) &amp; "-" &amp; RIGHT(D355, 4))), "20260101", TEXT(DATEVALUE(MID(D355, FIND(" ", D355)+1, FIND(",", D355)-FIND(" ", D355)-1) &amp; "-" &amp; LEFT(D355, FIND(" ", D355)-1) &amp; "-" &amp; RIGHT(D355, 4)), "YYYYMMDD"))</f>
        <v/>
      </c>
      <c r="I355" t="inlineStr">
        <is>
          <t>CORE A*</t>
        </is>
      </c>
    </row>
    <row r="356">
      <c r="A356" t="inlineStr">
        <is>
          <t>KDD 2027 - Research Track Cycle 1 (ACM SIGKDD Conference on Knowledge Discovery and Data Mining)</t>
        </is>
      </c>
      <c r="B356" t="inlineStr">
        <is>
          <t>https://kdd.org/</t>
        </is>
      </c>
      <c r="C356" t="inlineStr">
        <is>
          <t>TBD</t>
        </is>
      </c>
      <c r="D356" t="inlineStr">
        <is>
          <t>TBD</t>
        </is>
      </c>
      <c r="E356" t="inlineStr">
        <is>
          <t>August 1, 2026</t>
        </is>
      </c>
      <c r="F356" t="inlineStr">
        <is>
          <t>TBD</t>
        </is>
      </c>
      <c r="G356" t="inlineStr">
        <is>
          <t>Data mining; knowledge discovery; ML</t>
        </is>
      </c>
      <c r="H356">
        <f>IF(ISERROR(DATEVALUE(MID(D356, FIND(" ", D356)+1, FIND(",", D356)-FIND(" ", D356)-1) &amp; "-" &amp; LEFT(D356, FIND(" ", D356)-1) &amp; "-" &amp; RIGHT(D356, 4))), "20260101", TEXT(DATEVALUE(MID(D356, FIND(" ", D356)+1, FIND(",", D356)-FIND(" ", D356)-1) &amp; "-" &amp; LEFT(D356, FIND(" ", D356)-1) &amp; "-" &amp; RIGHT(D356, 4)), "YYYYMMDD"))</f>
        <v/>
      </c>
      <c r="I356" t="inlineStr">
        <is>
          <t>CORE A*</t>
        </is>
      </c>
    </row>
    <row r="357">
      <c r="A357" t="inlineStr">
        <is>
          <t>WSDM 2027 (ACM International Conference on Web Search and Data Mining)</t>
        </is>
      </c>
      <c r="B357" t="inlineStr">
        <is>
          <t>https://www.wsdm-conference.org/</t>
        </is>
      </c>
      <c r="C357" t="inlineStr">
        <is>
          <t>Hong Kong, China</t>
        </is>
      </c>
      <c r="D357" t="inlineStr">
        <is>
          <t>August 5, 2026</t>
        </is>
      </c>
      <c r="E357" t="inlineStr">
        <is>
          <t>August 12, 2026</t>
        </is>
      </c>
      <c r="F357" t="inlineStr">
        <is>
          <t>February 15, 2027</t>
        </is>
      </c>
      <c r="G357" t="inlineStr">
        <is>
          <t>Web search; data mining; IR</t>
        </is>
      </c>
      <c r="H357">
        <f>IF(ISERROR(DATEVALUE(MID(D357, FIND(" ", D357)+1, FIND(",", D357)-FIND(" ", D357)-1) &amp; "-" &amp; LEFT(D357, FIND(" ", D357)-1) &amp; "-" &amp; RIGHT(D357, 4))), "20260101", TEXT(DATEVALUE(MID(D357, FIND(" ", D357)+1, FIND(",", D357)-FIND(" ", D357)-1) &amp; "-" &amp; LEFT(D357, FIND(" ", D357)-1) &amp; "-" &amp; RIGHT(D357, 4)), "YYYYMMDD"))</f>
        <v/>
      </c>
      <c r="I357" t="inlineStr">
        <is>
          <t>CORE A*</t>
        </is>
      </c>
    </row>
    <row r="358">
      <c r="A358" t="inlineStr">
        <is>
          <t>NSDI 2027 - Fall Deadline (USENIX Symposium on Networked Systems Design and Implementation)</t>
        </is>
      </c>
      <c r="B358" t="inlineStr">
        <is>
          <t>https://www.usenix.org/conference/nsdi27</t>
        </is>
      </c>
      <c r="C358" t="inlineStr">
        <is>
          <t>Providence, RI, USA</t>
        </is>
      </c>
      <c r="D358" t="inlineStr">
        <is>
          <t>September 10, 2026</t>
        </is>
      </c>
      <c r="E358" t="inlineStr">
        <is>
          <t>September 17, 2026</t>
        </is>
      </c>
      <c r="F358" t="inlineStr">
        <is>
          <t>May 11, 2027</t>
        </is>
      </c>
      <c r="G358" t="inlineStr">
        <is>
          <t>Networked systems</t>
        </is>
      </c>
      <c r="H358">
        <f>IF(ISERROR(DATEVALUE(MID(D358, FIND(" ", D358)+1, FIND(",", D358)-FIND(" ", D358)-1) &amp; "-" &amp; LEFT(D358, FIND(" ", D358)-1) &amp; "-" &amp; RIGHT(D358, 4))), "20260101", TEXT(DATEVALUE(MID(D358, FIND(" ", D358)+1, FIND(",", D358)-FIND(" ", D358)-1) &amp; "-" &amp; LEFT(D358, FIND(" ", D358)-1) &amp; "-" &amp; RIGHT(D358, 4)), "YYYYMMDD"))</f>
        <v/>
      </c>
      <c r="I358" t="inlineStr">
        <is>
          <t>CORE A</t>
        </is>
      </c>
    </row>
    <row r="359">
      <c r="A359" t="inlineStr">
        <is>
          <t>FAST 2027 (USENIX Conference on File and Storage Technologies)</t>
        </is>
      </c>
      <c r="B359" t="inlineStr">
        <is>
          <t>https://www.usenix.org/conference/fast27</t>
        </is>
      </c>
      <c r="C359" t="inlineStr">
        <is>
          <t>Renton, WA, USA</t>
        </is>
      </c>
      <c r="D359" t="inlineStr">
        <is>
          <t>September 15, 2026</t>
        </is>
      </c>
      <c r="E359" t="inlineStr">
        <is>
          <t>September 22, 2026</t>
        </is>
      </c>
      <c r="F359" t="inlineStr">
        <is>
          <t>February 23, 2027</t>
        </is>
      </c>
      <c r="G359" t="inlineStr">
        <is>
          <t>Storage systems</t>
        </is>
      </c>
      <c r="H359">
        <f>IF(ISERROR(DATEVALUE(MID(D359, FIND(" ", D359)+1, FIND(",", D359)-FIND(" ", D359)-1) &amp; "-" &amp; LEFT(D359, FIND(" ", D359)-1) &amp; "-" &amp; RIGHT(D359, 4))), "20260101", TEXT(DATEVALUE(MID(D359, FIND(" ", D359)+1, FIND(",", D359)-FIND(" ", D359)-1) &amp; "-" &amp; LEFT(D359, FIND(" ", D359)-1) &amp; "-" &amp; RIGHT(D359, 4)), "YYYYMMDD"))</f>
        <v/>
      </c>
      <c r="I359" t="inlineStr">
        <is>
          <t>CORE A</t>
        </is>
      </c>
    </row>
    <row r="360">
      <c r="A360" t="inlineStr">
        <is>
          <t>ICASSP 2027 (IEEE International Conference on Acoustics, Speech and Signal Processing)</t>
        </is>
      </c>
      <c r="B360" t="inlineStr">
        <is>
          <t>https://2027.ieeeicassp.org/</t>
        </is>
      </c>
      <c r="C360" t="inlineStr">
        <is>
          <t>TBD</t>
        </is>
      </c>
      <c r="D360" t="inlineStr">
        <is>
          <t>TBD</t>
        </is>
      </c>
      <c r="E360" t="inlineStr">
        <is>
          <t>September 17, 2026</t>
        </is>
      </c>
      <c r="F360" t="inlineStr">
        <is>
          <t>TBD</t>
        </is>
      </c>
      <c r="G360" t="inlineStr">
        <is>
          <t>Speech; audio; signal processing</t>
        </is>
      </c>
      <c r="H360">
        <f>IF(ISERROR(DATEVALUE(MID(D360, FIND(" ", D360)+1, FIND(",", D360)-FIND(" ", D360)-1) &amp; "-" &amp; LEFT(D360, FIND(" ", D360)-1) &amp; "-" &amp; RIGHT(D360, 4))), "20260101", TEXT(DATEVALUE(MID(D360, FIND(" ", D360)+1, FIND(",", D360)-FIND(" ", D360)-1) &amp; "-" &amp; LEFT(D360, FIND(" ", D360)-1) &amp; "-" &amp; RIGHT(D360, 4)), "YYYYMMDD"))</f>
        <v/>
      </c>
      <c r="I360" t="inlineStr">
        <is>
          <t>CORE B (flagship IEEE SPS venue)</t>
        </is>
      </c>
    </row>
    <row r="361">
      <c r="A361" t="inlineStr">
        <is>
          <t>DATE 2027 (Design, Automation and Test in Europe)</t>
        </is>
      </c>
      <c r="B361" t="inlineStr">
        <is>
          <t>https://www.date-conference.com/</t>
        </is>
      </c>
      <c r="C361" t="inlineStr">
        <is>
          <t>TBD</t>
        </is>
      </c>
      <c r="D361" t="inlineStr">
        <is>
          <t>September 13, 2026</t>
        </is>
      </c>
      <c r="E361" t="inlineStr">
        <is>
          <t>September 20, 2026</t>
        </is>
      </c>
      <c r="F361" t="inlineStr">
        <is>
          <t>TBD</t>
        </is>
      </c>
      <c r="G361" t="inlineStr">
        <is>
          <t>EDA; embedded systems; hardware design</t>
        </is>
      </c>
      <c r="H361">
        <f>IF(ISERROR(DATEVALUE(MID(D361, FIND(" ", D361)+1, FIND(",", D361)-FIND(" ", D361)-1) &amp; "-" &amp; LEFT(D361, FIND(" ", D361)-1) &amp; "-" &amp; RIGHT(D361, 4))), "20260101", TEXT(DATEVALUE(MID(D361, FIND(" ", D361)+1, FIND(",", D361)-FIND(" ", D361)-1) &amp; "-" &amp; LEFT(D361, FIND(" ", D361)-1) &amp; "-" &amp; RIGHT(D361, 4)), "YYYYMMDD"))</f>
        <v/>
      </c>
      <c r="I361" t="inlineStr">
        <is>
          <t>CORE B</t>
        </is>
      </c>
    </row>
    <row r="362">
      <c r="A362" t="inlineStr">
        <is>
          <t>AAMAS 2027 (International Conference on Autonomous Agents and Multiagent Systems)</t>
        </is>
      </c>
      <c r="B362" t="inlineStr">
        <is>
          <t>https://www.ifaamas.org/</t>
        </is>
      </c>
      <c r="C362" t="inlineStr">
        <is>
          <t>TBD</t>
        </is>
      </c>
      <c r="D362" t="inlineStr">
        <is>
          <t>October 8, 2026</t>
        </is>
      </c>
      <c r="E362" t="inlineStr">
        <is>
          <t>October 15, 2026</t>
        </is>
      </c>
      <c r="F362" t="inlineStr">
        <is>
          <t>TBD</t>
        </is>
      </c>
      <c r="G362" t="inlineStr">
        <is>
          <t>Multi-agent systems; agents; game theory</t>
        </is>
      </c>
      <c r="H362">
        <f>IF(ISERROR(DATEVALUE(MID(D362, FIND(" ", D362)+1, FIND(",", D362)-FIND(" ", D362)-1) &amp; "-" &amp; LEFT(D362, FIND(" ", D362)-1) &amp; "-" &amp; RIGHT(D362, 4))), "20260101", TEXT(DATEVALUE(MID(D362, FIND(" ", D362)+1, FIND(",", D362)-FIND(" ", D362)-1) &amp; "-" &amp; LEFT(D362, FIND(" ", D362)-1) &amp; "-" &amp; RIGHT(D362, 4)), "YYYYMMDD"))</f>
        <v/>
      </c>
      <c r="I362" t="inlineStr">
        <is>
          <t>CORE A*</t>
        </is>
      </c>
    </row>
    <row r="363">
      <c r="A363" t="inlineStr">
        <is>
          <t>The Web Conference 2027 (WWW)</t>
        </is>
      </c>
      <c r="B363" t="inlineStr">
        <is>
          <t>https://thewebconf.org/</t>
        </is>
      </c>
      <c r="C363" t="inlineStr">
        <is>
          <t>TBD</t>
        </is>
      </c>
      <c r="D363" t="inlineStr">
        <is>
          <t>October 7, 2026</t>
        </is>
      </c>
      <c r="E363" t="inlineStr">
        <is>
          <t>October 14, 2026</t>
        </is>
      </c>
      <c r="F363" t="inlineStr">
        <is>
          <t>TBD</t>
        </is>
      </c>
      <c r="G363" t="inlineStr">
        <is>
          <t>Web; data mining; social networks; IR</t>
        </is>
      </c>
      <c r="H363">
        <f>IF(ISERROR(DATEVALUE(MID(D363, FIND(" ", D363)+1, FIND(",", D363)-FIND(" ", D363)-1) &amp; "-" &amp; LEFT(D363, FIND(" ", D363)-1) &amp; "-" &amp; RIGHT(D363, 4))), "20260101", TEXT(DATEVALUE(MID(D363, FIND(" ", D363)+1, FIND(",", D363)-FIND(" ", D363)-1) &amp; "-" &amp; LEFT(D363, FIND(" ", D363)-1) &amp; "-" &amp; RIGHT(D363, 4)), "YYYYMMDD"))</f>
        <v/>
      </c>
      <c r="I363" t="inlineStr">
        <is>
          <t>CORE A*</t>
        </is>
      </c>
    </row>
    <row r="364">
      <c r="A364" t="inlineStr">
        <is>
          <t>EACL 2027 via ACL Rolling Review (European Chapter of the ACL)</t>
        </is>
      </c>
      <c r="B364" t="inlineStr">
        <is>
          <t>https://www.aclweb.org/portal/</t>
        </is>
      </c>
      <c r="C364" t="inlineStr">
        <is>
          <t>Athens, Greece</t>
        </is>
      </c>
      <c r="D364" t="inlineStr">
        <is>
          <t>TBD</t>
        </is>
      </c>
      <c r="E364" t="inlineStr">
        <is>
          <t>October 6, 2026</t>
        </is>
      </c>
      <c r="F364" t="inlineStr">
        <is>
          <t>March 9, 2027</t>
        </is>
      </c>
      <c r="G364" t="inlineStr">
        <is>
          <t>NLP; computational linguistics</t>
        </is>
      </c>
      <c r="H364">
        <f>IF(ISERROR(DATEVALUE(MID(D364, FIND(" ", D364)+1, FIND(",", D364)-FIND(" ", D364)-1) &amp; "-" &amp; LEFT(D364, FIND(" ", D364)-1) &amp; "-" &amp; RIGHT(D364, 4))), "20260101", TEXT(DATEVALUE(MID(D364, FIND(" ", D364)+1, FIND(",", D364)-FIND(" ", D364)-1) &amp; "-" &amp; LEFT(D364, FIND(" ", D364)-1) &amp; "-" &amp; RIGHT(D364, 4)), "YYYYMMDD"))</f>
        <v/>
      </c>
      <c r="I364" t="inlineStr">
        <is>
          <t>CORE A</t>
        </is>
      </c>
    </row>
    <row r="365">
      <c r="A365" t="inlineStr">
        <is>
          <t>IUI 2027 (ACM Conference on Intelligent User Interfaces)</t>
        </is>
      </c>
      <c r="B365" t="inlineStr">
        <is>
          <t>https://iui.acm.org/2027/</t>
        </is>
      </c>
      <c r="C365" t="inlineStr">
        <is>
          <t>Helsinki, Finland</t>
        </is>
      </c>
      <c r="D365" t="inlineStr">
        <is>
          <t>October 7, 2026</t>
        </is>
      </c>
      <c r="E365" t="inlineStr">
        <is>
          <t>October 14, 2026</t>
        </is>
      </c>
      <c r="F365" t="inlineStr">
        <is>
          <t>February 8, 2027</t>
        </is>
      </c>
      <c r="G365" t="inlineStr">
        <is>
          <t>HCI; intelligent interfaces; human-AI interaction</t>
        </is>
      </c>
      <c r="H365">
        <f>IF(ISERROR(DATEVALUE(MID(D365, FIND(" ", D365)+1, FIND(",", D365)-FIND(" ", D365)-1) &amp; "-" &amp; LEFT(D365, FIND(" ", D365)-1) &amp; "-" &amp; RIGHT(D365, 4))), "20260101", TEXT(DATEVALUE(MID(D365, FIND(" ", D365)+1, FIND(",", D365)-FIND(" ", D365)-1) &amp; "-" &amp; LEFT(D365, FIND(" ", D365)-1) &amp; "-" &amp; RIGHT(D365, 4)), "YYYYMMDD"))</f>
        <v/>
      </c>
      <c r="I365" t="inlineStr">
        <is>
          <t>CORE A</t>
        </is>
      </c>
    </row>
    <row r="366">
      <c r="A366" t="inlineStr">
        <is>
          <t>VMCAI 2027 (Intl. Conf. on Verification, Model Checking, and Abstract Interpretation)</t>
        </is>
      </c>
      <c r="B366" t="inlineStr">
        <is>
          <t>https://conf.researchr.org/series/vmcai</t>
        </is>
      </c>
      <c r="C366" t="inlineStr">
        <is>
          <t>Expected co-located with POPL 2027, Mexico City</t>
        </is>
      </c>
      <c r="D366" t="inlineStr">
        <is>
          <t>TBD</t>
        </is>
      </c>
      <c r="E366" t="inlineStr">
        <is>
          <t>October 5, 2026</t>
        </is>
      </c>
      <c r="F366" t="inlineStr">
        <is>
          <t>January 10, 2027</t>
        </is>
      </c>
      <c r="G366" t="inlineStr">
        <is>
          <t>Verification; model checking; abstract interpretation</t>
        </is>
      </c>
      <c r="H366">
        <f>IF(ISERROR(DATEVALUE(MID(D366, FIND(" ", D366)+1, FIND(",", D366)-FIND(" ", D366)-1) &amp; "-" &amp; LEFT(D366, FIND(" ", D366)-1) &amp; "-" &amp; RIGHT(D366, 4))), "20260101", TEXT(DATEVALUE(MID(D366, FIND(" ", D366)+1, FIND(",", D366)-FIND(" ", D366)-1) &amp; "-" &amp; LEFT(D366, FIND(" ", D366)-1) &amp; "-" &amp; RIGHT(D366, 4)), "YYYYMMDD"))</f>
        <v/>
      </c>
      <c r="I366" t="inlineStr">
        <is>
          <t>CORE B</t>
        </is>
      </c>
    </row>
    <row r="367">
      <c r="A367" t="inlineStr">
        <is>
          <t>SaTML 2027 (IEEE Conference on Secure and Trustworthy Machine Learning)</t>
        </is>
      </c>
      <c r="B367" t="inlineStr">
        <is>
          <t>https://satml.org/</t>
        </is>
      </c>
      <c r="C367" t="inlineStr">
        <is>
          <t>Reykjavik, Iceland</t>
        </is>
      </c>
      <c r="D367" t="inlineStr">
        <is>
          <t>TBD</t>
        </is>
      </c>
      <c r="E367" t="inlineStr">
        <is>
          <t>September 24, 2026</t>
        </is>
      </c>
      <c r="F367" t="inlineStr">
        <is>
          <t>May 8, 2027</t>
        </is>
      </c>
      <c r="G367" t="inlineStr">
        <is>
          <t>Trustworthy/secure ML; AI safety</t>
        </is>
      </c>
      <c r="H367">
        <f>IF(ISERROR(DATEVALUE(MID(D367, FIND(" ", D367)+1, FIND(",", D367)-FIND(" ", D367)-1) &amp; "-" &amp; LEFT(D367, FIND(" ", D367)-1) &amp; "-" &amp; RIGHT(D367, 4))), "20260101", TEXT(DATEVALUE(MID(D367, FIND(" ", D367)+1, FIND(",", D367)-FIND(" ", D367)-1) &amp; "-" &amp; LEFT(D367, FIND(" ", D367)-1) &amp; "-" &amp; RIGHT(D367, 4)), "YYYYMMDD"))</f>
        <v/>
      </c>
      <c r="I367" t="inlineStr">
        <is>
          <t>Unranked (newer venue)</t>
        </is>
      </c>
    </row>
    <row r="368">
      <c r="A368" t="inlineStr">
        <is>
          <t>CVPR 2027 (IEEE/CVF Conference on Computer Vision and Pattern Recognition)</t>
        </is>
      </c>
      <c r="B368" t="inlineStr">
        <is>
          <t>https://cvpr.thecvf.com/</t>
        </is>
      </c>
      <c r="C368" t="inlineStr">
        <is>
          <t>TBA (USA)</t>
        </is>
      </c>
      <c r="D368" t="inlineStr">
        <is>
          <t>November 6, 2026</t>
        </is>
      </c>
      <c r="E368" t="inlineStr">
        <is>
          <t>November 13, 2026</t>
        </is>
      </c>
      <c r="F368" t="inlineStr">
        <is>
          <t>June 20, 2027</t>
        </is>
      </c>
      <c r="G368" t="inlineStr">
        <is>
          <t>Computer vision; pattern recognition</t>
        </is>
      </c>
      <c r="H368">
        <f>IF(ISERROR(DATEVALUE(MID(D368, FIND(" ", D368)+1, FIND(",", D368)-FIND(" ", D368)-1) &amp; "-" &amp; LEFT(D368, FIND(" ", D368)-1) &amp; "-" &amp; RIGHT(D368, 4))), "20260101", TEXT(DATEVALUE(MID(D368, FIND(" ", D368)+1, FIND(",", D368)-FIND(" ", D368)-1) &amp; "-" &amp; LEFT(D368, FIND(" ", D368)-1) &amp; "-" &amp; RIGHT(D368, 4)), "YYYYMMDD"))</f>
        <v/>
      </c>
      <c r="I368" t="inlineStr">
        <is>
          <t>CORE A*</t>
        </is>
      </c>
    </row>
    <row r="369">
      <c r="A369" t="inlineStr">
        <is>
          <t>OSDI 2027 (USENIX Symposium on Operating Systems Design and Implementation)</t>
        </is>
      </c>
      <c r="B369" t="inlineStr">
        <is>
          <t>https://www.usenix.org/conference/osdi27</t>
        </is>
      </c>
      <c r="C369" t="inlineStr">
        <is>
          <t>Baltimore, MD, USA</t>
        </is>
      </c>
      <c r="D369" t="inlineStr">
        <is>
          <t>December 3, 2026</t>
        </is>
      </c>
      <c r="E369" t="inlineStr">
        <is>
          <t>December 10, 2026</t>
        </is>
      </c>
      <c r="F369" t="inlineStr">
        <is>
          <t>July 7, 2027</t>
        </is>
      </c>
      <c r="G369" t="inlineStr">
        <is>
          <t>Operating systems; systems</t>
        </is>
      </c>
      <c r="H369">
        <f>IF(ISERROR(DATEVALUE(MID(D369, FIND(" ", D369)+1, FIND(",", D369)-FIND(" ", D369)-1) &amp; "-" &amp; LEFT(D369, FIND(" ", D369)-1) &amp; "-" &amp; RIGHT(D369, 4))), "20260101", TEXT(DATEVALUE(MID(D369, FIND(" ", D369)+1, FIND(",", D369)-FIND(" ", D369)-1) &amp; "-" &amp; LEFT(D369, FIND(" ", D369)-1) &amp; "-" &amp; RIGHT(D369, 4)), "YYYYMMDD"))</f>
        <v/>
      </c>
      <c r="I369" t="inlineStr">
        <is>
          <t>CORE A*</t>
        </is>
      </c>
    </row>
    <row r="370">
      <c r="A370" t="inlineStr">
        <is>
          <t>SIGIR 2027 (ACM SIGIR Conference on Research and Development in Information Retrieval)</t>
        </is>
      </c>
      <c r="B370" t="inlineStr">
        <is>
          <t>https://sigir.org/</t>
        </is>
      </c>
      <c r="C370" t="inlineStr">
        <is>
          <t>TBD</t>
        </is>
      </c>
      <c r="D370" t="inlineStr">
        <is>
          <t>January 14, 2027</t>
        </is>
      </c>
      <c r="E370" t="inlineStr">
        <is>
          <t>January 21, 2027</t>
        </is>
      </c>
      <c r="F370" t="inlineStr">
        <is>
          <t>TBD</t>
        </is>
      </c>
      <c r="G370" t="inlineStr">
        <is>
          <t>Information retrieval</t>
        </is>
      </c>
      <c r="H370">
        <f>IF(ISERROR(DATEVALUE(MID(D370, FIND(" ", D370)+1, FIND(",", D370)-FIND(" ", D370)-1) &amp; "-" &amp; LEFT(D370, FIND(" ", D370)-1) &amp; "-" &amp; RIGHT(D370, 4))), "20260101", TEXT(DATEVALUE(MID(D370, FIND(" ", D370)+1, FIND(",", D370)-FIND(" ", D370)-1) &amp; "-" &amp; LEFT(D370, FIND(" ", D370)-1) &amp; "-" &amp; RIGHT(D370, 4)), "YYYYMMDD"))</f>
        <v/>
      </c>
      <c r="I370" t="inlineStr">
        <is>
          <t>CORE A*</t>
        </is>
      </c>
    </row>
    <row r="371">
      <c r="A371" t="inlineStr">
        <is>
          <t>IJCAI 2027 (International Joint Conference on Artificial Intelligence)</t>
        </is>
      </c>
      <c r="B371" t="inlineStr">
        <is>
          <t>https://www.ijcai.org/</t>
        </is>
      </c>
      <c r="C371" t="inlineStr">
        <is>
          <t>TBD</t>
        </is>
      </c>
      <c r="D371" t="inlineStr">
        <is>
          <t>January 11, 2027</t>
        </is>
      </c>
      <c r="E371" t="inlineStr">
        <is>
          <t>January 18, 2027</t>
        </is>
      </c>
      <c r="F371" t="inlineStr">
        <is>
          <t>TBD</t>
        </is>
      </c>
      <c r="G371" t="inlineStr">
        <is>
          <t>Artificial intelligence</t>
        </is>
      </c>
      <c r="H371">
        <f>IF(ISERROR(DATEVALUE(MID(D371, FIND(" ", D371)+1, FIND(",", D371)-FIND(" ", D371)-1) &amp; "-" &amp; LEFT(D371, FIND(" ", D371)-1) &amp; "-" &amp; RIGHT(D371, 4))), "20260101", TEXT(DATEVALUE(MID(D371, FIND(" ", D371)+1, FIND(",", D371)-FIND(" ", D371)-1) &amp; "-" &amp; LEFT(D371, FIND(" ", D371)-1) &amp; "-" &amp; RIGHT(D371, 4)), "YYYYMMDD"))</f>
        <v/>
      </c>
      <c r="I371" t="inlineStr">
        <is>
          <t>CORE A*</t>
        </is>
      </c>
    </row>
    <row r="372">
      <c r="A372" t="inlineStr">
        <is>
          <t>CAV 2027 (International Conference on Computer Aided Verification)</t>
        </is>
      </c>
      <c r="B372" t="inlineStr">
        <is>
          <t>http://conferences.i-cav.org/</t>
        </is>
      </c>
      <c r="C372" t="inlineStr">
        <is>
          <t>TBD</t>
        </is>
      </c>
      <c r="D372" t="inlineStr">
        <is>
          <t>TBD</t>
        </is>
      </c>
      <c r="E372" t="inlineStr">
        <is>
          <t>January 27, 2027</t>
        </is>
      </c>
      <c r="F372" t="inlineStr">
        <is>
          <t>TBD</t>
        </is>
      </c>
      <c r="G372" t="inlineStr">
        <is>
          <t>Formal verification; model checking; SMT</t>
        </is>
      </c>
      <c r="H372">
        <f>IF(ISERROR(DATEVALUE(MID(D372, FIND(" ", D372)+1, FIND(",", D372)-FIND(" ", D372)-1) &amp; "-" &amp; LEFT(D372, FIND(" ", D372)-1) &amp; "-" &amp; RIGHT(D372, 4))), "20260101", TEXT(DATEVALUE(MID(D372, FIND(" ", D372)+1, FIND(",", D372)-FIND(" ", D372)-1) &amp; "-" &amp; LEFT(D372, FIND(" ", D372)-1) &amp; "-" &amp; RIGHT(D372, 4)), "YYYYMMDD"))</f>
        <v/>
      </c>
      <c r="I372" t="inlineStr">
        <is>
          <t>CORE A (listed A+ on this site's scale)</t>
        </is>
      </c>
    </row>
    <row r="373">
      <c r="A373" t="inlineStr">
        <is>
          <t>ICCV 2027 (IEEE/CVF International Conference on Computer Vision)</t>
        </is>
      </c>
      <c r="B373" t="inlineStr">
        <is>
          <t>https://iccv.thecvf.com/</t>
        </is>
      </c>
      <c r="C373" t="inlineStr">
        <is>
          <t>TBA</t>
        </is>
      </c>
      <c r="D373" t="inlineStr">
        <is>
          <t>TBD</t>
        </is>
      </c>
      <c r="E373" t="inlineStr">
        <is>
          <t>March 8, 2027</t>
        </is>
      </c>
      <c r="F373" t="inlineStr">
        <is>
          <t>TBD</t>
        </is>
      </c>
      <c r="G373" t="inlineStr">
        <is>
          <t>Computer vision</t>
        </is>
      </c>
      <c r="H373">
        <f>IF(ISERROR(DATEVALUE(MID(D373, FIND(" ", D373)+1, FIND(",", D373)-FIND(" ", D373)-1) &amp; "-" &amp; LEFT(D373, FIND(" ", D373)-1) &amp; "-" &amp; RIGHT(D373, 4))), "20260101", TEXT(DATEVALUE(MID(D373, FIND(" ", D373)+1, FIND(",", D373)-FIND(" ", D373)-1) &amp; "-" &amp; LEFT(D373, FIND(" ", D373)-1) &amp; "-" &amp; RIGHT(D373, 4)), "YYYYMMDD"))</f>
        <v/>
      </c>
      <c r="I373" t="inlineStr">
        <is>
          <t>CORE A*</t>
        </is>
      </c>
    </row>
    <row r="374">
      <c r="A374" t="inlineStr">
        <is>
          <t>ASE 2027 (IEEE/ACM International Conference on Automated Software Engineering)</t>
        </is>
      </c>
      <c r="B374" t="inlineStr">
        <is>
          <t>https://conf.researchr.org/series/ase</t>
        </is>
      </c>
      <c r="C374" t="inlineStr">
        <is>
          <t>TBA</t>
        </is>
      </c>
      <c r="D374" t="inlineStr">
        <is>
          <t>TBD</t>
        </is>
      </c>
      <c r="E374" t="inlineStr">
        <is>
          <t>March 26, 2027</t>
        </is>
      </c>
      <c r="F374" t="inlineStr">
        <is>
          <t>TBD</t>
        </is>
      </c>
      <c r="G374" t="inlineStr">
        <is>
          <t>Automated software engineering</t>
        </is>
      </c>
      <c r="H374">
        <f>IF(ISERROR(DATEVALUE(MID(D374, FIND(" ", D374)+1, FIND(",", D374)-FIND(" ", D374)-1) &amp; "-" &amp; LEFT(D374, FIND(" ", D374)-1) &amp; "-" &amp; RIGHT(D374, 4))), "20260101", TEXT(DATEVALUE(MID(D374, FIND(" ", D374)+1, FIND(",", D374)-FIND(" ", D374)-1) &amp; "-" &amp; LEFT(D374, FIND(" ", D374)-1) &amp; "-" &amp; RIGHT(D374, 4)), "YYYYMMDD"))</f>
        <v/>
      </c>
      <c r="I374" t="inlineStr">
        <is>
          <t>CORE A</t>
        </is>
      </c>
    </row>
    <row r="375">
      <c r="A375" t="inlineStr">
        <is>
          <t>ACL 2027 (Annual Meeting of the Association for Computational Linguistics)</t>
        </is>
      </c>
      <c r="B375" t="inlineStr">
        <is>
          <t>https://www.aclweb.org/portal/</t>
        </is>
      </c>
      <c r="C375" t="inlineStr">
        <is>
          <t>TBA</t>
        </is>
      </c>
      <c r="D375" t="inlineStr">
        <is>
          <t>TBD</t>
        </is>
      </c>
      <c r="E375" t="inlineStr">
        <is>
          <t>February 15, 2027</t>
        </is>
      </c>
      <c r="F375" t="inlineStr">
        <is>
          <t>July 27, 2027</t>
        </is>
      </c>
      <c r="G375" t="inlineStr">
        <is>
          <t>NLP; computational linguistics</t>
        </is>
      </c>
      <c r="H375">
        <f>IF(ISERROR(DATEVALUE(MID(D375, FIND(" ", D375)+1, FIND(",", D375)-FIND(" ", D375)-1) &amp; "-" &amp; LEFT(D375, FIND(" ", D375)-1) &amp; "-" &amp; RIGHT(D375, 4))), "20260101", TEXT(DATEVALUE(MID(D375, FIND(" ", D375)+1, FIND(",", D375)-FIND(" ", D375)-1) &amp; "-" &amp; LEFT(D375, FIND(" ", D375)-1) &amp; "-" &amp; RIGHT(D375, 4)), "YYYYMMDD"))</f>
        <v/>
      </c>
      <c r="I375" t="inlineStr">
        <is>
          <t>CORE A*</t>
        </is>
      </c>
    </row>
    <row r="376">
      <c r="A376" t="inlineStr">
        <is>
          <t>NeurIPS 2027 (Conference on Neural Information Processing Systems)</t>
        </is>
      </c>
      <c r="B376" t="inlineStr">
        <is>
          <t>https://neurips.cc/</t>
        </is>
      </c>
      <c r="C376" t="inlineStr">
        <is>
          <t>TBD</t>
        </is>
      </c>
      <c r="D376" t="inlineStr">
        <is>
          <t>May 11, 2027</t>
        </is>
      </c>
      <c r="E376" t="inlineStr">
        <is>
          <t>May 15, 2027</t>
        </is>
      </c>
      <c r="F376" t="inlineStr">
        <is>
          <t>TBD</t>
        </is>
      </c>
      <c r="G376" t="inlineStr">
        <is>
          <t>Machine learning; neuroscience-inspired AI</t>
        </is>
      </c>
      <c r="H376">
        <f>IF(ISERROR(DATEVALUE(MID(D376, FIND(" ", D376)+1, FIND(",", D376)-FIND(" ", D376)-1) &amp; "-" &amp; LEFT(D376, FIND(" ", D376)-1) &amp; "-" &amp; RIGHT(D376, 4))), "20260101", TEXT(DATEVALUE(MID(D376, FIND(" ", D376)+1, FIND(",", D376)-FIND(" ", D376)-1) &amp; "-" &amp; LEFT(D376, FIND(" ", D376)-1) &amp; "-" &amp; RIGHT(D376, 4)), "YYYYMMDD"))</f>
        <v/>
      </c>
      <c r="I376" t="inlineStr">
        <is>
          <t>CORE A*</t>
        </is>
      </c>
    </row>
    <row r="377">
      <c r="A377" t="inlineStr">
        <is>
          <t>CAV 2026 (International Conference on Computer Aided Verification)</t>
        </is>
      </c>
      <c r="B377" t="inlineStr">
        <is>
          <t>https://conferences.i-cav.org/2026/</t>
        </is>
      </c>
      <c r="C377" t="inlineStr">
        <is>
          <t>Lisbon, Portugal (part of FLoC 2026)</t>
        </is>
      </c>
      <c r="D377" t="inlineStr">
        <is>
          <t>January 28, 2026</t>
        </is>
      </c>
      <c r="E377" t="inlineStr">
        <is>
          <t>January 28, 2026</t>
        </is>
      </c>
      <c r="F377" t="inlineStr">
        <is>
          <t>July 26, 2026</t>
        </is>
      </c>
      <c r="G377" t="inlineStr">
        <is>
          <t>Formal verification. Notification: Apr 17, 2026</t>
        </is>
      </c>
      <c r="H377">
        <f>IF(ISERROR(DATEVALUE(MID(D377, FIND(" ", D377)+1, FIND(",", D377)-FIND(" ", D377)-1) &amp; "-" &amp; LEFT(D377, FIND(" ", D377)-1) &amp; "-" &amp; RIGHT(D377, 4))), "20260101", TEXT(DATEVALUE(MID(D377, FIND(" ", D377)+1, FIND(",", D377)-FIND(" ", D377)-1) &amp; "-" &amp; LEFT(D377, FIND(" ", D377)-1) &amp; "-" &amp; RIGHT(D377, 4)), "YYYYMMDD"))</f>
        <v/>
      </c>
      <c r="I377" t="inlineStr">
        <is>
          <t>CORE A (A+ on this site's scale)</t>
        </is>
      </c>
    </row>
    <row r="378">
      <c r="A378" t="inlineStr">
        <is>
          <t>USENIX Security 2026 (USENIX Security Symposium)</t>
        </is>
      </c>
      <c r="B378" t="inlineStr">
        <is>
          <t>https://www.usenix.org/conference/usenixsecurity26</t>
        </is>
      </c>
      <c r="C378" t="inlineStr">
        <is>
          <t>Baltimore, MD, USA</t>
        </is>
      </c>
      <c r="D378" t="inlineStr">
        <is>
          <t>TBD</t>
        </is>
      </c>
      <c r="E378" t="inlineStr">
        <is>
          <t>February 5, 2026</t>
        </is>
      </c>
      <c r="F378" t="inlineStr">
        <is>
          <t>August 12, 2026</t>
        </is>
      </c>
      <c r="G378" t="inlineStr">
        <is>
          <t>Computer security; privacy</t>
        </is>
      </c>
      <c r="H378">
        <f>IF(ISERROR(DATEVALUE(MID(D378, FIND(" ", D378)+1, FIND(",", D378)-FIND(" ", D378)-1) &amp; "-" &amp; LEFT(D378, FIND(" ", D378)-1) &amp; "-" &amp; RIGHT(D378, 4))), "20260101", TEXT(DATEVALUE(MID(D378, FIND(" ", D378)+1, FIND(",", D378)-FIND(" ", D378)-1) &amp; "-" &amp; LEFT(D378, FIND(" ", D378)-1) &amp; "-" &amp; RIGHT(D378, 4)), "YYYYMMDD"))</f>
        <v/>
      </c>
      <c r="I378" t="inlineStr">
        <is>
          <t>CORE A*</t>
        </is>
      </c>
    </row>
    <row r="379">
      <c r="A379" t="inlineStr">
        <is>
          <t>IJCAI-ECAI 2026 (International Joint Conference on AI / European Conference on AI)</t>
        </is>
      </c>
      <c r="B379" t="inlineStr">
        <is>
          <t>https://2026.ijcai.org/</t>
        </is>
      </c>
      <c r="C379" t="inlineStr">
        <is>
          <t>Bremen, Germany</t>
        </is>
      </c>
      <c r="D379" t="inlineStr">
        <is>
          <t>January 12, 2026</t>
        </is>
      </c>
      <c r="E379" t="inlineStr">
        <is>
          <t>January 19, 2026</t>
        </is>
      </c>
      <c r="F379" t="inlineStr">
        <is>
          <t>August 15, 2026</t>
        </is>
      </c>
      <c r="G379" t="inlineStr">
        <is>
          <t>Artificial intelligence. Notification: Apr 29, 2026</t>
        </is>
      </c>
      <c r="H379">
        <f>IF(ISERROR(DATEVALUE(MID(D379, FIND(" ", D379)+1, FIND(",", D379)-FIND(" ", D379)-1) &amp; "-" &amp; LEFT(D379, FIND(" ", D379)-1) &amp; "-" &amp; RIGHT(D379, 4))), "20260101", TEXT(DATEVALUE(MID(D379, FIND(" ", D379)+1, FIND(",", D379)-FIND(" ", D379)-1) &amp; "-" &amp; LEFT(D379, FIND(" ", D379)-1) &amp; "-" &amp; RIGHT(D379, 4)), "YYYYMMDD"))</f>
        <v/>
      </c>
      <c r="I379" t="inlineStr">
        <is>
          <t>CORE A*</t>
        </is>
      </c>
    </row>
    <row r="380">
      <c r="A380" t="inlineStr">
        <is>
          <t>CRYPTO 2026 (Annual International Cryptology Conference)</t>
        </is>
      </c>
      <c r="B380" t="inlineStr">
        <is>
          <t>https://www.iacr.org/meetings/crypto/</t>
        </is>
      </c>
      <c r="C380" t="inlineStr">
        <is>
          <t>Santa Barbara, CA, USA</t>
        </is>
      </c>
      <c r="D380" t="inlineStr">
        <is>
          <t>TBD</t>
        </is>
      </c>
      <c r="E380" t="inlineStr">
        <is>
          <t>February 12, 2026</t>
        </is>
      </c>
      <c r="F380" t="inlineStr">
        <is>
          <t>August 17, 2026</t>
        </is>
      </c>
      <c r="G380" t="inlineStr">
        <is>
          <t>Cryptography. Notification: May 4, 2026</t>
        </is>
      </c>
      <c r="H380">
        <f>IF(ISERROR(DATEVALUE(MID(D380, FIND(" ", D380)+1, FIND(",", D380)-FIND(" ", D380)-1) &amp; "-" &amp; LEFT(D380, FIND(" ", D380)-1) &amp; "-" &amp; RIGHT(D380, 4))), "20260101", TEXT(DATEVALUE(MID(D380, FIND(" ", D380)+1, FIND(",", D380)-FIND(" ", D380)-1) &amp; "-" &amp; LEFT(D380, FIND(" ", D380)-1) &amp; "-" &amp; RIGHT(D380, 4)), "YYYYMMDD"))</f>
        <v/>
      </c>
      <c r="I380" t="inlineStr">
        <is>
          <t>CORE A*</t>
        </is>
      </c>
    </row>
    <row r="381">
      <c r="A381" t="inlineStr">
        <is>
          <t>ICFP 2026 (ACM SIGPLAN International Conference on Functional Programming)</t>
        </is>
      </c>
      <c r="B381" t="inlineStr">
        <is>
          <t>https://conf.researchr.org/home/icfp-2026</t>
        </is>
      </c>
      <c r="C381" t="inlineStr">
        <is>
          <t>Indianapolis, IN, USA</t>
        </is>
      </c>
      <c r="D381" t="inlineStr">
        <is>
          <t>TBD</t>
        </is>
      </c>
      <c r="E381" t="inlineStr">
        <is>
          <t>February 25, 2026</t>
        </is>
      </c>
      <c r="F381" t="inlineStr">
        <is>
          <t>August 24, 2026</t>
        </is>
      </c>
      <c r="G381" t="inlineStr">
        <is>
          <t>Functional programming; PL</t>
        </is>
      </c>
      <c r="H381">
        <f>IF(ISERROR(DATEVALUE(MID(D381, FIND(" ", D381)+1, FIND(",", D381)-FIND(" ", D381)-1) &amp; "-" &amp; LEFT(D381, FIND(" ", D381)-1) &amp; "-" &amp; RIGHT(D381, 4))), "20260101", TEXT(DATEVALUE(MID(D381, FIND(" ", D381)+1, FIND(",", D381)-FIND(" ", D381)-1) &amp; "-" &amp; LEFT(D381, FIND(" ", D381)-1) &amp; "-" &amp; RIGHT(D381, 4)), "YYYYMMDD"))</f>
        <v/>
      </c>
      <c r="I381" t="inlineStr">
        <is>
          <t>CORE A</t>
        </is>
      </c>
    </row>
    <row r="382">
      <c r="A382" t="inlineStr">
        <is>
          <t>ESORICS 2026 (European Symposium on Research in Computer Security)</t>
        </is>
      </c>
      <c r="B382" t="inlineStr">
        <is>
          <t>https://sites.google.com/di.uniroma1.it/esorics2026/</t>
        </is>
      </c>
      <c r="C382" t="inlineStr">
        <is>
          <t>Rome, Italy</t>
        </is>
      </c>
      <c r="D382" t="inlineStr">
        <is>
          <t>TBD</t>
        </is>
      </c>
      <c r="E382" t="inlineStr">
        <is>
          <t>April 21, 2026</t>
        </is>
      </c>
      <c r="F382" t="inlineStr">
        <is>
          <t>September 14, 2026</t>
        </is>
      </c>
      <c r="G382" t="inlineStr">
        <is>
          <t>Computer security</t>
        </is>
      </c>
      <c r="H382">
        <f>IF(ISERROR(DATEVALUE(MID(D382, FIND(" ", D382)+1, FIND(",", D382)-FIND(" ", D382)-1) &amp; "-" &amp; LEFT(D382, FIND(" ", D382)-1) &amp; "-" &amp; RIGHT(D382, 4))), "20260101", TEXT(DATEVALUE(MID(D382, FIND(" ", D382)+1, FIND(",", D382)-FIND(" ", D382)-1) &amp; "-" &amp; LEFT(D382, FIND(" ", D382)-1) &amp; "-" &amp; RIGHT(D382, 4)), "YYYYMMDD"))</f>
        <v/>
      </c>
      <c r="I382" t="inlineStr">
        <is>
          <t>CORE A</t>
        </is>
      </c>
    </row>
    <row r="383">
      <c r="A383" t="inlineStr">
        <is>
          <t>SOSP 2026 (ACM Symposium on Operating Systems Principles)</t>
        </is>
      </c>
      <c r="B383" t="inlineStr">
        <is>
          <t>https://sigops.org/s/conferences/sosp/2026/</t>
        </is>
      </c>
      <c r="C383" t="inlineStr">
        <is>
          <t>Prague, Czechia</t>
        </is>
      </c>
      <c r="D383" t="inlineStr">
        <is>
          <t>March 26, 2026</t>
        </is>
      </c>
      <c r="E383" t="inlineStr">
        <is>
          <t>April 1, 2026</t>
        </is>
      </c>
      <c r="F383" t="inlineStr">
        <is>
          <t>September 29, 2026</t>
        </is>
      </c>
      <c r="G383" t="inlineStr">
        <is>
          <t>Operating systems; systems</t>
        </is>
      </c>
      <c r="H383">
        <f>IF(ISERROR(DATEVALUE(MID(D383, FIND(" ", D383)+1, FIND(",", D383)-FIND(" ", D383)-1) &amp; "-" &amp; LEFT(D383, FIND(" ", D383)-1) &amp; "-" &amp; RIGHT(D383, 4))), "20260101", TEXT(DATEVALUE(MID(D383, FIND(" ", D383)+1, FIND(",", D383)-FIND(" ", D383)-1) &amp; "-" &amp; LEFT(D383, FIND(" ", D383)-1) &amp; "-" &amp; RIGHT(D383, 4)), "YYYYMMDD"))</f>
        <v/>
      </c>
      <c r="I383" t="inlineStr">
        <is>
          <t>CORE A*</t>
        </is>
      </c>
    </row>
    <row r="384">
      <c r="A384" t="inlineStr">
        <is>
          <t>OOPSLA 2026 (ACM SIGPLAN Conf. on Object-Oriented Programming, Systems, Languages &amp; Applications / SPLASH)</t>
        </is>
      </c>
      <c r="B384" t="inlineStr">
        <is>
          <t>https://2026.splashcon.org/</t>
        </is>
      </c>
      <c r="C384" t="inlineStr">
        <is>
          <t>Oakland, CA, USA</t>
        </is>
      </c>
      <c r="D384" t="inlineStr">
        <is>
          <t>TBD</t>
        </is>
      </c>
      <c r="E384" t="inlineStr">
        <is>
          <t>March 17, 2026</t>
        </is>
      </c>
      <c r="F384" t="inlineStr">
        <is>
          <t>October 3, 2026</t>
        </is>
      </c>
      <c r="G384" t="inlineStr">
        <is>
          <t>Programming languages; software systems</t>
        </is>
      </c>
      <c r="H384">
        <f>IF(ISERROR(DATEVALUE(MID(D384, FIND(" ", D384)+1, FIND(",", D384)-FIND(" ", D384)-1) &amp; "-" &amp; LEFT(D384, FIND(" ", D384)-1) &amp; "-" &amp; RIGHT(D384, 4))), "20260101", TEXT(DATEVALUE(MID(D384, FIND(" ", D384)+1, FIND(",", D384)-FIND(" ", D384)-1) &amp; "-" &amp; LEFT(D384, FIND(" ", D384)-1) &amp; "-" &amp; RIGHT(D384, 4)), "YYYYMMDD"))</f>
        <v/>
      </c>
      <c r="I384" t="inlineStr">
        <is>
          <t>CORE A</t>
        </is>
      </c>
    </row>
    <row r="385">
      <c r="A385" t="inlineStr">
        <is>
          <t>ISSTA 2026 (ACM SIGSOFT International Symposium on Software Testing and Analysis)</t>
        </is>
      </c>
      <c r="B385" t="inlineStr">
        <is>
          <t>https://conf.researchr.org/home/issta-2026</t>
        </is>
      </c>
      <c r="C385" t="inlineStr">
        <is>
          <t>Oakland, CA, USA (TBC)</t>
        </is>
      </c>
      <c r="D385" t="inlineStr">
        <is>
          <t>TBD</t>
        </is>
      </c>
      <c r="E385" t="inlineStr">
        <is>
          <t>January 29, 2026</t>
        </is>
      </c>
      <c r="F385" t="inlineStr">
        <is>
          <t>October 3, 2026</t>
        </is>
      </c>
      <c r="G385" t="inlineStr">
        <is>
          <t>Software testing &amp; analysis</t>
        </is>
      </c>
      <c r="H385">
        <f>IF(ISERROR(DATEVALUE(MID(D385, FIND(" ", D385)+1, FIND(",", D385)-FIND(" ", D385)-1) &amp; "-" &amp; LEFT(D385, FIND(" ", D385)-1) &amp; "-" &amp; RIGHT(D385, 4))), "20260101", TEXT(DATEVALUE(MID(D385, FIND(" ", D385)+1, FIND(",", D385)-FIND(" ", D385)-1) &amp; "-" &amp; LEFT(D385, FIND(" ", D385)-1) &amp; "-" &amp; RIGHT(D385, 4)), "YYYYMMDD"))</f>
        <v/>
      </c>
      <c r="I385" t="inlineStr">
        <is>
          <t>CORE A</t>
        </is>
      </c>
    </row>
    <row r="386">
      <c r="A386" t="inlineStr">
        <is>
          <t>EMNLP 2026 (Conference on Empirical Methods in Natural Language Processing)</t>
        </is>
      </c>
      <c r="B386" t="inlineStr">
        <is>
          <t>https://2026.emnlp.org/</t>
        </is>
      </c>
      <c r="C386" t="inlineStr">
        <is>
          <t>Budapest, Hungary (TBC)</t>
        </is>
      </c>
      <c r="D386" t="inlineStr">
        <is>
          <t>TBD</t>
        </is>
      </c>
      <c r="E386" t="inlineStr">
        <is>
          <t>May 25, 2026</t>
        </is>
      </c>
      <c r="F386" t="inlineStr">
        <is>
          <t>October 24, 2026</t>
        </is>
      </c>
      <c r="G386" t="inlineStr">
        <is>
          <t>NLP; computational linguistics</t>
        </is>
      </c>
      <c r="H386">
        <f>IF(ISERROR(DATEVALUE(MID(D386, FIND(" ", D386)+1, FIND(",", D386)-FIND(" ", D386)-1) &amp; "-" &amp; LEFT(D386, FIND(" ", D386)-1) &amp; "-" &amp; RIGHT(D386, 4))), "20260101", TEXT(DATEVALUE(MID(D386, FIND(" ", D386)+1, FIND(",", D386)-FIND(" ", D386)-1) &amp; "-" &amp; LEFT(D386, FIND(" ", D386)-1) &amp; "-" &amp; RIGHT(D386, 4)), "YYYYMMDD"))</f>
        <v/>
      </c>
      <c r="I386" t="inlineStr">
        <is>
          <t>CORE A*</t>
        </is>
      </c>
    </row>
    <row r="387">
      <c r="A387" t="inlineStr">
        <is>
          <t>IMC 2026 (ACM Internet Measurement Conference)</t>
        </is>
      </c>
      <c r="B387" t="inlineStr">
        <is>
          <t>https://www.sigcomm.org/events/imc-conference</t>
        </is>
      </c>
      <c r="C387" t="inlineStr">
        <is>
          <t>Karlsruhe, Germany</t>
        </is>
      </c>
      <c r="D387" t="inlineStr">
        <is>
          <t>TBD</t>
        </is>
      </c>
      <c r="E387" t="inlineStr">
        <is>
          <t>May 15, 2026</t>
        </is>
      </c>
      <c r="F387" t="inlineStr">
        <is>
          <t>November 3, 2026</t>
        </is>
      </c>
      <c r="G387" t="inlineStr">
        <is>
          <t>Internet measurement; networking</t>
        </is>
      </c>
      <c r="H387">
        <f>IF(ISERROR(DATEVALUE(MID(D387, FIND(" ", D387)+1, FIND(",", D387)-FIND(" ", D387)-1) &amp; "-" &amp; LEFT(D387, FIND(" ", D387)-1) &amp; "-" &amp; RIGHT(D387, 4))), "20260101", TEXT(DATEVALUE(MID(D387, FIND(" ", D387)+1, FIND(",", D387)-FIND(" ", D387)-1) &amp; "-" &amp; LEFT(D387, FIND(" ", D387)-1) &amp; "-" &amp; RIGHT(D387, 4)), "YYYYMMDD"))</f>
        <v/>
      </c>
      <c r="I387" t="inlineStr">
        <is>
          <t>CORE A</t>
        </is>
      </c>
    </row>
    <row r="388">
      <c r="A388" t="inlineStr">
        <is>
          <t>FOCS 2026 (IEEE Symposium on Foundations of Computer Science)</t>
        </is>
      </c>
      <c r="B388" t="inlineStr">
        <is>
          <t>https://sanjeevkhanna.org/FOCS2026_CFP.html</t>
        </is>
      </c>
      <c r="C388" t="inlineStr">
        <is>
          <t>New York, NY, USA</t>
        </is>
      </c>
      <c r="D388" t="inlineStr">
        <is>
          <t>TBD</t>
        </is>
      </c>
      <c r="E388" t="inlineStr">
        <is>
          <t>April 1, 2026</t>
        </is>
      </c>
      <c r="F388" t="inlineStr">
        <is>
          <t>November 8, 2026</t>
        </is>
      </c>
      <c r="G388" t="inlineStr">
        <is>
          <t>Theoretical computer science. Notification: Jul 3, 2026</t>
        </is>
      </c>
      <c r="H388">
        <f>IF(ISERROR(DATEVALUE(MID(D388, FIND(" ", D388)+1, FIND(",", D388)-FIND(" ", D388)-1) &amp; "-" &amp; LEFT(D388, FIND(" ", D388)-1) &amp; "-" &amp; RIGHT(D388, 4))), "20260101", TEXT(DATEVALUE(MID(D388, FIND(" ", D388)+1, FIND(",", D388)-FIND(" ", D388)-1) &amp; "-" &amp; LEFT(D388, FIND(" ", D388)-1) &amp; "-" &amp; RIGHT(D388, 4)), "YYYYMMDD"))</f>
        <v/>
      </c>
      <c r="I388" t="inlineStr">
        <is>
          <t>CORE A*</t>
        </is>
      </c>
    </row>
    <row r="389">
      <c r="A389" t="inlineStr">
        <is>
          <t>DISC 2026 (International Symposium on Distributed Computing)</t>
        </is>
      </c>
      <c r="B389" t="inlineStr">
        <is>
          <t>https://www.disc-conference.org/wp/disc2026/</t>
        </is>
      </c>
      <c r="C389" t="inlineStr">
        <is>
          <t>Rome, Italy</t>
        </is>
      </c>
      <c r="D389" t="inlineStr">
        <is>
          <t>May 27, 2026</t>
        </is>
      </c>
      <c r="E389" t="inlineStr">
        <is>
          <t>June 1, 2026</t>
        </is>
      </c>
      <c r="F389" t="inlineStr">
        <is>
          <t>November 9, 2026</t>
        </is>
      </c>
      <c r="G389" t="inlineStr">
        <is>
          <t>Distributed computing</t>
        </is>
      </c>
      <c r="H389">
        <f>IF(ISERROR(DATEVALUE(MID(D389, FIND(" ", D389)+1, FIND(",", D389)-FIND(" ", D389)-1) &amp; "-" &amp; LEFT(D389, FIND(" ", D389)-1) &amp; "-" &amp; RIGHT(D389, 4))), "20260101", TEXT(DATEVALUE(MID(D389, FIND(" ", D389)+1, FIND(",", D389)-FIND(" ", D389)-1) &amp; "-" &amp; LEFT(D389, FIND(" ", D389)-1) &amp; "-" &amp; RIGHT(D389, 4)), "YYYYMMDD"))</f>
        <v/>
      </c>
      <c r="I389" t="inlineStr">
        <is>
          <t>CORE A</t>
        </is>
      </c>
    </row>
    <row r="390">
      <c r="A390" t="inlineStr">
        <is>
          <t>CCS 2026 (ACM Conference on Computer and Communications Security)</t>
        </is>
      </c>
      <c r="B390" t="inlineStr">
        <is>
          <t>https://www.sigsac.org/ccs/CCS2026/</t>
        </is>
      </c>
      <c r="C390" t="inlineStr">
        <is>
          <t>The Hague, Netherlands</t>
        </is>
      </c>
      <c r="D390" t="inlineStr">
        <is>
          <t>April 22, 2026</t>
        </is>
      </c>
      <c r="E390" t="inlineStr">
        <is>
          <t>April 29, 2026</t>
        </is>
      </c>
      <c r="F390" t="inlineStr">
        <is>
          <t>November 15, 2026</t>
        </is>
      </c>
      <c r="G390" t="inlineStr">
        <is>
          <t>Computer &amp; communications security. Notifications: Apr 9 / Jul 17, 2026</t>
        </is>
      </c>
      <c r="H390">
        <f>IF(ISERROR(DATEVALUE(MID(D390, FIND(" ", D390)+1, FIND(",", D390)-FIND(" ", D390)-1) &amp; "-" &amp; LEFT(D390, FIND(" ", D390)-1) &amp; "-" &amp; RIGHT(D390, 4))), "20260101", TEXT(DATEVALUE(MID(D390, FIND(" ", D390)+1, FIND(",", D390)-FIND(" ", D390)-1) &amp; "-" &amp; LEFT(D390, FIND(" ", D390)-1) &amp; "-" &amp; RIGHT(D390, 4)), "YYYYMMDD"))</f>
        <v/>
      </c>
      <c r="I390" t="inlineStr">
        <is>
          <t>CORE A*</t>
        </is>
      </c>
    </row>
    <row r="391">
      <c r="A391" t="inlineStr">
        <is>
          <t>USENIX ATC 2026 / SIGOPS ATC (Annual Technical Conference)</t>
        </is>
      </c>
      <c r="B391" t="inlineStr">
        <is>
          <t>https://sigops.org/s/conferences/atc/2026/</t>
        </is>
      </c>
      <c r="C391" t="inlineStr">
        <is>
          <t>Hong Kong, China</t>
        </is>
      </c>
      <c r="D391" t="inlineStr">
        <is>
          <t>TBD</t>
        </is>
      </c>
      <c r="E391" t="inlineStr">
        <is>
          <t>June 10, 2026</t>
        </is>
      </c>
      <c r="F391" t="inlineStr">
        <is>
          <t>November 15, 2026</t>
        </is>
      </c>
      <c r="G391" t="inlineStr">
        <is>
          <t>Systems</t>
        </is>
      </c>
      <c r="H391">
        <f>IF(ISERROR(DATEVALUE(MID(D391, FIND(" ", D391)+1, FIND(",", D391)-FIND(" ", D391)-1) &amp; "-" &amp; LEFT(D391, FIND(" ", D391)-1) &amp; "-" &amp; RIGHT(D391, 4))), "20260101", TEXT(DATEVALUE(MID(D391, FIND(" ", D391)+1, FIND(",", D391)-FIND(" ", D391)-1) &amp; "-" &amp; LEFT(D391, FIND(" ", D391)-1) &amp; "-" &amp; RIGHT(D391, 4)), "YYYYMMDD"))</f>
        <v/>
      </c>
      <c r="I391" t="inlineStr">
        <is>
          <t>CORE A</t>
        </is>
      </c>
    </row>
    <row r="392">
      <c r="A392" t="inlineStr">
        <is>
          <t>SC26 (International Conference for High Performance Computing, Networking, Storage and Analysis)</t>
        </is>
      </c>
      <c r="B392" t="inlineStr">
        <is>
          <t>https://supercomputing.org/</t>
        </is>
      </c>
      <c r="C392" t="inlineStr">
        <is>
          <t>TBD</t>
        </is>
      </c>
      <c r="D392" t="inlineStr">
        <is>
          <t>TBD</t>
        </is>
      </c>
      <c r="E392" t="inlineStr">
        <is>
          <t>April 10, 2026</t>
        </is>
      </c>
      <c r="F392" t="inlineStr">
        <is>
          <t>TBD</t>
        </is>
      </c>
      <c r="G392" t="inlineStr">
        <is>
          <t>High-performance computing</t>
        </is>
      </c>
      <c r="H392">
        <f>IF(ISERROR(DATEVALUE(MID(D392, FIND(" ", D392)+1, FIND(",", D392)-FIND(" ", D392)-1) &amp; "-" &amp; LEFT(D392, FIND(" ", D392)-1) &amp; "-" &amp; RIGHT(D392, 4))), "20260101", TEXT(DATEVALUE(MID(D392, FIND(" ", D392)+1, FIND(",", D392)-FIND(" ", D392)-1) &amp; "-" &amp; LEFT(D392, FIND(" ", D392)-1) &amp; "-" &amp; RIGHT(D392, 4)), "YYYYMMDD"))</f>
        <v/>
      </c>
      <c r="I392" t="inlineStr">
        <is>
          <t>CORE A</t>
        </is>
      </c>
    </row>
    <row r="393">
      <c r="A393" t="inlineStr">
        <is>
          <t>MICRO 2026 (IEEE/ACM International Symposium on Microarchitecture - MICRO-58)</t>
        </is>
      </c>
      <c r="B393" t="inlineStr">
        <is>
          <t>https://microarch.org/</t>
        </is>
      </c>
      <c r="C393" t="inlineStr">
        <is>
          <t>TBD</t>
        </is>
      </c>
      <c r="D393" t="inlineStr">
        <is>
          <t>TBD</t>
        </is>
      </c>
      <c r="E393" t="inlineStr">
        <is>
          <t>April 11, 2026</t>
        </is>
      </c>
      <c r="F393" t="inlineStr">
        <is>
          <t>TBD</t>
        </is>
      </c>
      <c r="G393" t="inlineStr">
        <is>
          <t>Microarchitecture; computer architecture</t>
        </is>
      </c>
      <c r="H393">
        <f>IF(ISERROR(DATEVALUE(MID(D393, FIND(" ", D393)+1, FIND(",", D393)-FIND(" ", D393)-1) &amp; "-" &amp; LEFT(D393, FIND(" ", D393)-1) &amp; "-" &amp; RIGHT(D393, 4))), "20260101", TEXT(DATEVALUE(MID(D393, FIND(" ", D393)+1, FIND(",", D393)-FIND(" ", D393)-1) &amp; "-" &amp; LEFT(D393, FIND(" ", D393)-1) &amp; "-" &amp; RIGHT(D393, 4)), "YYYYMMDD"))</f>
        <v/>
      </c>
      <c r="I393" t="inlineStr">
        <is>
          <t>CORE A*</t>
        </is>
      </c>
    </row>
    <row r="394">
      <c r="A394" t="inlineStr">
        <is>
          <t>FMCAD 2026 (Formal Methods in Computer-Aided Design)</t>
        </is>
      </c>
      <c r="B394" t="inlineStr">
        <is>
          <t>https://fmcad.org/</t>
        </is>
      </c>
      <c r="C394" t="inlineStr">
        <is>
          <t>TBD</t>
        </is>
      </c>
      <c r="D394" t="inlineStr">
        <is>
          <t>TBD</t>
        </is>
      </c>
      <c r="E394" t="inlineStr">
        <is>
          <t>May 15, 2026</t>
        </is>
      </c>
      <c r="F394" t="inlineStr">
        <is>
          <t>TBD</t>
        </is>
      </c>
      <c r="G394" t="inlineStr">
        <is>
          <t>Formal methods; hardware/software verification</t>
        </is>
      </c>
      <c r="H394">
        <f>IF(ISERROR(DATEVALUE(MID(D394, FIND(" ", D394)+1, FIND(",", D394)-FIND(" ", D394)-1) &amp; "-" &amp; LEFT(D394, FIND(" ", D394)-1) &amp; "-" &amp; RIGHT(D394, 4))), "20260101", TEXT(DATEVALUE(MID(D394, FIND(" ", D394)+1, FIND(",", D394)-FIND(" ", D394)-1) &amp; "-" &amp; LEFT(D394, FIND(" ", D394)-1) &amp; "-" &amp; RIGHT(D394, 4)), "YYYYMMDD"))</f>
        <v/>
      </c>
      <c r="I394" t="inlineStr">
        <is>
          <t>CORE B</t>
        </is>
      </c>
    </row>
    <row r="395">
      <c r="A395" t="inlineStr">
        <is>
          <t>APLAS 2026 (Asian Symposium on Programming Languages and Systems)</t>
        </is>
      </c>
      <c r="B395" t="inlineStr">
        <is>
          <t>https://conf.researchr.org/series/aplas</t>
        </is>
      </c>
      <c r="C395" t="inlineStr">
        <is>
          <t>Hong Kong, China</t>
        </is>
      </c>
      <c r="D395" t="inlineStr">
        <is>
          <t>TBD</t>
        </is>
      </c>
      <c r="E395" t="inlineStr">
        <is>
          <t>June 5, 2026</t>
        </is>
      </c>
      <c r="F395" t="inlineStr">
        <is>
          <t>December 1, 2026</t>
        </is>
      </c>
      <c r="G395" t="inlineStr">
        <is>
          <t>Programming languages</t>
        </is>
      </c>
      <c r="H395">
        <f>IF(ISERROR(DATEVALUE(MID(D395, FIND(" ", D395)+1, FIND(",", D395)-FIND(" ", D395)-1) &amp; "-" &amp; LEFT(D395, FIND(" ", D395)-1) &amp; "-" &amp; RIGHT(D395, 4))), "20260101", TEXT(DATEVALUE(MID(D395, FIND(" ", D395)+1, FIND(",", D395)-FIND(" ", D395)-1) &amp; "-" &amp; LEFT(D395, FIND(" ", D395)-1) &amp; "-" &amp; RIGHT(D395, 4)), "YYYYMMDD"))</f>
        <v/>
      </c>
      <c r="I395" t="inlineStr">
        <is>
          <t>CORE B</t>
        </is>
      </c>
    </row>
    <row r="396">
      <c r="A396" t="inlineStr">
        <is>
          <t>WINE 2026 (Conference on Web and Internet Economics)</t>
        </is>
      </c>
      <c r="B396" t="inlineStr">
        <is>
          <t>https://wine2026conf.github.io</t>
        </is>
      </c>
      <c r="C396" t="inlineStr">
        <is>
          <t>Hong Kong, China</t>
        </is>
      </c>
      <c r="D396" t="inlineStr">
        <is>
          <t>TBD</t>
        </is>
      </c>
      <c r="E396" t="inlineStr">
        <is>
          <t>July 2, 2026</t>
        </is>
      </c>
      <c r="F396" t="inlineStr">
        <is>
          <t>December 1, 2026</t>
        </is>
      </c>
      <c r="G396" t="inlineStr">
        <is>
          <t>Algorithmic game theory; internet economics</t>
        </is>
      </c>
      <c r="H396">
        <f>IF(ISERROR(DATEVALUE(MID(D396, FIND(" ", D396)+1, FIND(",", D396)-FIND(" ", D396)-1) &amp; "-" &amp; LEFT(D396, FIND(" ", D396)-1) &amp; "-" &amp; RIGHT(D396, 4))), "20260101", TEXT(DATEVALUE(MID(D396, FIND(" ", D396)+1, FIND(",", D396)-FIND(" ", D396)-1) &amp; "-" &amp; LEFT(D396, FIND(" ", D396)-1) &amp; "-" &amp; RIGHT(D396, 4)), "YYYYMMDD"))</f>
        <v/>
      </c>
      <c r="I396" t="inlineStr">
        <is>
          <t>CORE B</t>
        </is>
      </c>
    </row>
    <row r="397">
      <c r="A397" t="inlineStr">
        <is>
          <t>NeurIPS 2026 (Conference on Neural Information Processing Systems)</t>
        </is>
      </c>
      <c r="B397" t="inlineStr">
        <is>
          <t>https://neurips.cc/</t>
        </is>
      </c>
      <c r="C397" t="inlineStr">
        <is>
          <t>Sydney, Australia</t>
        </is>
      </c>
      <c r="D397" t="inlineStr">
        <is>
          <t>May 11, 2026</t>
        </is>
      </c>
      <c r="E397" t="inlineStr">
        <is>
          <t>May 15, 2026</t>
        </is>
      </c>
      <c r="F397" t="inlineStr">
        <is>
          <t>December 6, 2026</t>
        </is>
      </c>
      <c r="G397" t="inlineStr">
        <is>
          <t>Machine learning</t>
        </is>
      </c>
      <c r="H397">
        <f>IF(ISERROR(DATEVALUE(MID(D397, FIND(" ", D397)+1, FIND(",", D397)-FIND(" ", D397)-1) &amp; "-" &amp; LEFT(D397, FIND(" ", D397)-1) &amp; "-" &amp; RIGHT(D397, 4))), "20260101", TEXT(DATEVALUE(MID(D397, FIND(" ", D397)+1, FIND(",", D397)-FIND(" ", D397)-1) &amp; "-" &amp; LEFT(D397, FIND(" ", D397)-1) &amp; "-" &amp; RIGHT(D397, 4)), "YYYYMMDD"))</f>
        <v/>
      </c>
      <c r="I397" t="inlineStr">
        <is>
          <t>CORE A*</t>
        </is>
      </c>
    </row>
    <row r="398">
      <c r="A398" t="inlineStr">
        <is>
          <t>ACSAC 2026 (Annual Computer Security Applications Conference)</t>
        </is>
      </c>
      <c r="B398" t="inlineStr">
        <is>
          <t>https://www.acsac.org/2026/</t>
        </is>
      </c>
      <c r="C398" t="inlineStr">
        <is>
          <t>Los Angeles, CA, USA</t>
        </is>
      </c>
      <c r="D398" t="inlineStr">
        <is>
          <t>TBD</t>
        </is>
      </c>
      <c r="E398" t="inlineStr">
        <is>
          <t>May 26, 2026</t>
        </is>
      </c>
      <c r="F398" t="inlineStr">
        <is>
          <t>December 7, 2026</t>
        </is>
      </c>
      <c r="G398" t="inlineStr">
        <is>
          <t>Applied security</t>
        </is>
      </c>
      <c r="H398">
        <f>IF(ISERROR(DATEVALUE(MID(D398, FIND(" ", D398)+1, FIND(",", D398)-FIND(" ", D398)-1) &amp; "-" &amp; LEFT(D398, FIND(" ", D398)-1) &amp; "-" &amp; RIGHT(D398, 4))), "20260101", TEXT(DATEVALUE(MID(D398, FIND(" ", D398)+1, FIND(",", D398)-FIND(" ", D398)-1) &amp; "-" &amp; LEFT(D398, FIND(" ", D398)-1) &amp; "-" &amp; RIGHT(D398, 4)), "YYYYMMDD"))</f>
        <v/>
      </c>
      <c r="I398" t="inlineStr">
        <is>
          <t>CORE A</t>
        </is>
      </c>
    </row>
    <row r="399">
      <c r="A399" t="inlineStr">
        <is>
          <t>POPL 2027 (ACM SIGACT-SIGPLAN Symposium on Principles of Programming Languages)</t>
        </is>
      </c>
      <c r="B399" t="inlineStr">
        <is>
          <t>https://popl27.sigplan.org/</t>
        </is>
      </c>
      <c r="C399" t="inlineStr">
        <is>
          <t>Mexico City, Mexico</t>
        </is>
      </c>
      <c r="D399" t="inlineStr">
        <is>
          <t>TBD</t>
        </is>
      </c>
      <c r="E399" t="inlineStr">
        <is>
          <t>July 9, 2026</t>
        </is>
      </c>
      <c r="F399" t="inlineStr">
        <is>
          <t>January 10, 2027</t>
        </is>
      </c>
      <c r="G399" t="inlineStr">
        <is>
          <t>Programming languages; verification; semantics. Notification: Oct 5, 2026</t>
        </is>
      </c>
      <c r="H399">
        <f>IF(ISERROR(DATEVALUE(MID(D399, FIND(" ", D399)+1, FIND(",", D399)-FIND(" ", D399)-1) &amp; "-" &amp; LEFT(D399, FIND(" ", D399)-1) &amp; "-" &amp; RIGHT(D399, 4))), "20260101", TEXT(DATEVALUE(MID(D399, FIND(" ", D399)+1, FIND(",", D399)-FIND(" ", D399)-1) &amp; "-" &amp; LEFT(D399, FIND(" ", D399)-1) &amp; "-" &amp; RIGHT(D399, 4)), "YYYYMMDD"))</f>
        <v/>
      </c>
      <c r="I399" t="inlineStr">
        <is>
          <t>CORE A*</t>
        </is>
      </c>
    </row>
    <row r="400">
      <c r="A400" t="inlineStr">
        <is>
          <t>SODA 2027 (ACM-SIAM Symposium on Discrete Algorithms)</t>
        </is>
      </c>
      <c r="B400" t="inlineStr">
        <is>
          <t>https://www.siam.org/conferences-events/siam-conferences/soda27/</t>
        </is>
      </c>
      <c r="C400" t="inlineStr">
        <is>
          <t>Philadelphia, PA, USA</t>
        </is>
      </c>
      <c r="D400" t="inlineStr">
        <is>
          <t>TBD</t>
        </is>
      </c>
      <c r="E400" t="inlineStr">
        <is>
          <t>July 9, 2026</t>
        </is>
      </c>
      <c r="F400" t="inlineStr">
        <is>
          <t>January 24, 2027</t>
        </is>
      </c>
      <c r="G400" t="inlineStr">
        <is>
          <t>Algorithms; discrete mathematics</t>
        </is>
      </c>
      <c r="H400">
        <f>IF(ISERROR(DATEVALUE(MID(D400, FIND(" ", D400)+1, FIND(",", D400)-FIND(" ", D400)-1) &amp; "-" &amp; LEFT(D400, FIND(" ", D400)-1) &amp; "-" &amp; RIGHT(D400, 4))), "20260101", TEXT(DATEVALUE(MID(D400, FIND(" ", D400)+1, FIND(",", D400)-FIND(" ", D400)-1) &amp; "-" &amp; LEFT(D400, FIND(" ", D400)-1) &amp; "-" &amp; RIGHT(D400, 4)), "YYYYMMDD"))</f>
        <v/>
      </c>
      <c r="I400" t="inlineStr">
        <is>
          <t>CORE A*</t>
        </is>
      </c>
    </row>
    <row r="401">
      <c r="A401" t="inlineStr">
        <is>
          <t>ICSE 2027 (IEEE/ACM International Conference on Software Engineering)</t>
        </is>
      </c>
      <c r="B401" t="inlineStr">
        <is>
          <t>https://conf.researchr.org/home/icse-2027</t>
        </is>
      </c>
      <c r="C401" t="inlineStr">
        <is>
          <t>Dublin, Ireland</t>
        </is>
      </c>
      <c r="D401" t="inlineStr">
        <is>
          <t>TBD</t>
        </is>
      </c>
      <c r="E401" t="inlineStr">
        <is>
          <t>June 30, 2026</t>
        </is>
      </c>
      <c r="F401" t="inlineStr">
        <is>
          <t>April 12, 2027</t>
        </is>
      </c>
      <c r="G401" t="inlineStr">
        <is>
          <t>Software engineering</t>
        </is>
      </c>
      <c r="H401">
        <f>IF(ISERROR(DATEVALUE(MID(D401, FIND(" ", D401)+1, FIND(",", D401)-FIND(" ", D401)-1) &amp; "-" &amp; LEFT(D401, FIND(" ", D401)-1) &amp; "-" &amp; RIGHT(D401, 4))), "20260101", TEXT(DATEVALUE(MID(D401, FIND(" ", D401)+1, FIND(",", D401)-FIND(" ", D401)-1) &amp; "-" &amp; LEFT(D401, FIND(" ", D401)-1) &amp; "-" &amp; RIGHT(D401, 4)), "YYYYMMDD"))</f>
        <v/>
      </c>
      <c r="I401" t="inlineStr">
        <is>
          <t>CORE A*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10" r:id="rId6"/>
    <hyperlink xmlns:r="http://schemas.openxmlformats.org/officeDocument/2006/relationships" ref="B14" r:id="rId7"/>
    <hyperlink xmlns:r="http://schemas.openxmlformats.org/officeDocument/2006/relationships" ref="B19" r:id="rId8"/>
    <hyperlink xmlns:r="http://schemas.openxmlformats.org/officeDocument/2006/relationships" ref="B20" r:id="rId9"/>
    <hyperlink xmlns:r="http://schemas.openxmlformats.org/officeDocument/2006/relationships" ref="B21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3" r:id="rId13"/>
    <hyperlink xmlns:r="http://schemas.openxmlformats.org/officeDocument/2006/relationships" ref="B93" r:id="rId14"/>
    <hyperlink xmlns:r="http://schemas.openxmlformats.org/officeDocument/2006/relationships" ref="B113" r:id="rId15"/>
    <hyperlink xmlns:r="http://schemas.openxmlformats.org/officeDocument/2006/relationships" ref="B274" r:id="rId16"/>
    <hyperlink xmlns:r="http://schemas.openxmlformats.org/officeDocument/2006/relationships" ref="B275" r:id="rId17"/>
    <hyperlink xmlns:r="http://schemas.openxmlformats.org/officeDocument/2006/relationships" ref="B276" r:id="rId18"/>
    <hyperlink xmlns:r="http://schemas.openxmlformats.org/officeDocument/2006/relationships" ref="B277" r:id="rId19"/>
    <hyperlink xmlns:r="http://schemas.openxmlformats.org/officeDocument/2006/relationships" ref="B278" r:id="rId20"/>
    <hyperlink xmlns:r="http://schemas.openxmlformats.org/officeDocument/2006/relationships" ref="B298" r:id="rId21"/>
    <hyperlink xmlns:r="http://schemas.openxmlformats.org/officeDocument/2006/relationships" ref="B300" r:id="rId22"/>
    <hyperlink xmlns:r="http://schemas.openxmlformats.org/officeDocument/2006/relationships" ref="B301" r:id="rId23"/>
    <hyperlink xmlns:r="http://schemas.openxmlformats.org/officeDocument/2006/relationships" ref="B302" r:id="rId24"/>
    <hyperlink xmlns:r="http://schemas.openxmlformats.org/officeDocument/2006/relationships" ref="B303" r:id="rId25"/>
    <hyperlink xmlns:r="http://schemas.openxmlformats.org/officeDocument/2006/relationships" ref="B305" r:id="rId26"/>
    <hyperlink xmlns:r="http://schemas.openxmlformats.org/officeDocument/2006/relationships" ref="B306" r:id="rId27"/>
    <hyperlink xmlns:r="http://schemas.openxmlformats.org/officeDocument/2006/relationships" ref="B307" r:id="rId28"/>
    <hyperlink xmlns:r="http://schemas.openxmlformats.org/officeDocument/2006/relationships" ref="B308" r:id="rId29"/>
    <hyperlink xmlns:r="http://schemas.openxmlformats.org/officeDocument/2006/relationships" ref="B319" r:id="rId30"/>
    <hyperlink xmlns:r="http://schemas.openxmlformats.org/officeDocument/2006/relationships" ref="B320" r:id="rId31"/>
  </hyperlink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3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Brandon Colelough</dc:creator>
  <dcterms:created xsi:type="dcterms:W3CDTF">2024-09-03T17:44:07Z</dcterms:created>
  <dcterms:modified xsi:type="dcterms:W3CDTF">2026-07-22T16:46:49Z</dcterms:modified>
  <cp:lastModifiedBy>Colelough, Brandon (NIH/NLM) [F]</cp:lastModifiedBy>
</cp:coreProperties>
</file>